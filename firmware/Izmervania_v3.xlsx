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comments/comment4.xml" ContentType="application/vnd.openxmlformats-officedocument.spreadsheetml.comments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Начало" sheetId="1" state="visible" r:id="rId1"/>
    <sheet name="Е1 Цикъл" sheetId="2" state="visible" r:id="rId2"/>
    <sheet name="Е2 DHT11" sheetId="3" state="visible" r:id="rId3"/>
    <sheet name="Е3 VCC" sheetId="4" state="visible" r:id="rId4"/>
    <sheet name="Е4 Изводи" sheetId="5" state="visible" r:id="rId5"/>
    <sheet name="Е5 Ток" sheetId="6" state="visible" r:id="rId6"/>
    <sheet name="Е6 Бутони" sheetId="7" state="visible" r:id="rId7"/>
    <sheet name="Е7 Влага" sheetId="8" state="visible" r:id="rId8"/>
    <sheet name="Е8 PING" sheetId="9" state="visible" r:id="rId9"/>
    <sheet name="Е9 Надеждност" sheetId="10" state="visible" r:id="rId10"/>
    <sheet name="Е10 Обхват" sheetId="11" state="visible" r:id="rId11"/>
    <sheet name="Е11 24 часа" sheetId="12" state="visible" r:id="rId12"/>
    <sheet name="Е12 Включване" sheetId="13" state="visible" r:id="rId13"/>
    <sheet name="Е13 Уеб" sheetId="14" state="visible" r:id="rId14"/>
    <sheet name="Снимки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dd.mm.yyyy"/>
    <numFmt numFmtId="165" formatCode="0.0"/>
    <numFmt numFmtId="166" formatCode="hh:mm"/>
    <numFmt numFmtId="167" formatCode="0.000"/>
    <numFmt numFmtId="168" formatCode="0.0%"/>
    <numFmt numFmtId="169" formatCode="0.0000"/>
    <numFmt numFmtId="170" formatCode="dd.mm.yyyy hh:mm"/>
    <numFmt numFmtId="171" formatCode="0.000%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i val="1"/>
      <color rgb="00808080"/>
      <sz val="10"/>
    </font>
    <font>
      <name val="Arial"/>
      <b val="1"/>
      <sz val="11"/>
    </font>
    <font>
      <name val="Arial"/>
      <i val="1"/>
      <color rgb="00595959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7F7F7"/>
      </patternFill>
    </fill>
    <fill>
      <patternFill patternType="solid">
        <fgColor rgb="00D9E1F2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4" fillId="0" borderId="0" pivotButton="0" quotePrefix="0" xfId="0"/>
    <xf numFmtId="0" fontId="5" fillId="0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4" fontId="2" fillId="2" borderId="1" applyAlignment="1" pivotButton="0" quotePrefix="0" xfId="0">
      <alignment horizontal="center" vertical="center" wrapText="1"/>
    </xf>
    <xf numFmtId="165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166" fontId="2" fillId="2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/>
    </xf>
    <xf numFmtId="167" fontId="2" fillId="3" borderId="1" applyAlignment="1" pivotButton="0" quotePrefix="0" xfId="0">
      <alignment horizontal="center" vertical="center" wrapText="1"/>
    </xf>
    <xf numFmtId="2" fontId="2" fillId="2" borderId="1" applyAlignment="1" pivotButton="0" quotePrefix="0" xfId="0">
      <alignment horizontal="center" vertical="center" wrapText="1"/>
    </xf>
    <xf numFmtId="2" fontId="2" fillId="3" borderId="1" applyAlignment="1" pivotButton="0" quotePrefix="0" xfId="0">
      <alignment horizontal="center" vertical="center" wrapText="1"/>
    </xf>
    <xf numFmtId="168" fontId="2" fillId="3" borderId="1" applyAlignment="1" pivotButton="0" quotePrefix="0" xfId="0">
      <alignment horizontal="center" vertical="center" wrapText="1"/>
    </xf>
    <xf numFmtId="1" fontId="4" fillId="0" borderId="0" applyAlignment="1" pivotButton="0" quotePrefix="0" xfId="0">
      <alignment horizontal="center"/>
    </xf>
    <xf numFmtId="2" fontId="4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5" fontId="4" fillId="0" borderId="0" applyAlignment="1" pivotButton="0" quotePrefix="0" xfId="0">
      <alignment horizontal="center"/>
    </xf>
    <xf numFmtId="167" fontId="2" fillId="2" borderId="1" applyAlignment="1" pivotButton="0" quotePrefix="0" xfId="0">
      <alignment horizontal="center" vertical="center" wrapText="1"/>
    </xf>
    <xf numFmtId="1" fontId="2" fillId="3" borderId="1" applyAlignment="1" pivotButton="0" quotePrefix="0" xfId="0">
      <alignment horizontal="center" vertical="center" wrapText="1"/>
    </xf>
    <xf numFmtId="169" fontId="2" fillId="3" borderId="1" applyAlignment="1" pivotButton="0" quotePrefix="0" xfId="0">
      <alignment horizontal="center" vertical="center" wrapText="1"/>
    </xf>
    <xf numFmtId="1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2" fontId="3" fillId="3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8" fontId="3" fillId="3" borderId="1" applyAlignment="1" pivotButton="0" quotePrefix="0" xfId="0">
      <alignment horizontal="center" vertical="center" wrapText="1"/>
    </xf>
    <xf numFmtId="170" fontId="2" fillId="2" borderId="1" applyAlignment="1" pivotButton="0" quotePrefix="0" xfId="0">
      <alignment horizontal="center" vertical="center" wrapText="1"/>
    </xf>
    <xf numFmtId="171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/>
    </xf>
    <xf numFmtId="9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comments/comment1.xml><?xml version="1.0" encoding="utf-8"?>
<comments xmlns="http://schemas.openxmlformats.org/spreadsheetml/2006/main">
  <authors>
    <author>Шаблон</author>
  </authors>
  <commentList>
    <comment ref="E7" authorId="0" shapeId="0">
      <text>
        <t>VCC_FULL_SCALE_V в Slave.ino (калибриран от Вас с мултиметър).</t>
      </text>
    </comment>
    <comment ref="E8" authorId="0" shapeId="0">
      <text>
        <t>VCC_RELAY_ERR_V в Slave.ino (калибриран от Вас с мултиметър).</t>
      </text>
    </comment>
    <comment ref="E9" authorId="0" shapeId="0">
      <text>
        <t>След качването на v3 е 0,00 V. Ако сте я променяли, впишете стойността от уеб страницата.</t>
      </text>
    </comment>
    <comment ref="J9" authorId="0" shapeId="0">
      <text>
        <t>Предположение: вграденият делител на NodeMCU на A0 е 220 kΩ/100 kΩ (входно съпротивление 320 kΩ), а АЦП на ESP8266 има пълна скала 1,0 V, т.е. 3,2 V на извода A0 (типични стойности). Измерете резисторите с омметър при изключено захранване.</t>
      </text>
    </comment>
  </commentList>
</comments>
</file>

<file path=xl/comments/comment2.xml><?xml version="1.0" encoding="utf-8"?>
<comments xmlns="http://schemas.openxmlformats.org/spreadsheetml/2006/main">
  <authors>
    <author>Шаблон</author>
  </authors>
  <commentList>
    <comment ref="E19" authorId="0" shapeId="0">
      <text>
        <t>задействания</t>
      </text>
    </comment>
    <comment ref="F19" authorId="0" shapeId="0">
      <text>
        <t>откази</t>
      </text>
    </comment>
  </commentList>
</comments>
</file>

<file path=xl/comments/comment3.xml><?xml version="1.0" encoding="utf-8"?>
<comments xmlns="http://schemas.openxmlformats.org/spreadsheetml/2006/main">
  <authors>
    <author>Шаблон</author>
  </authors>
  <commentList>
    <comment ref="G15" authorId="0" shapeId="0">
      <text>
        <t>Средно от средните на трите серии (всяка с по 100 заявки).</t>
      </text>
    </comment>
  </commentList>
</comments>
</file>

<file path=xl/comments/comment4.xml><?xml version="1.0" encoding="utf-8"?>
<comments xmlns="http://schemas.openxmlformats.org/spreadsheetml/2006/main">
  <authors>
    <author>Шаблон</author>
  </authors>
  <commentList>
    <comment ref="K8" authorId="0" shapeId="0">
      <text>
        <t>Само периодичните пакети при интервал 2000 ms; незабавните отчети след команди и бутони ги увеличават.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50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12" customWidth="1" min="4" max="4"/>
    <col width="34" customWidth="1" min="5" max="5"/>
    <col width="12" customWidth="1" min="6" max="6"/>
  </cols>
  <sheetData>
    <row r="1">
      <c r="A1" s="1" t="inlineStr">
        <is>
          <t>Измервания за Глава 4 — фърмуер v3</t>
        </is>
      </c>
    </row>
    <row r="3">
      <c r="A3" s="2" t="inlineStr">
        <is>
          <t>Попълвайте само ЖЪЛТИТЕ клетки. СИВИТЕ се изчисляват сами. Сивият курсивен ред над всяка таблица е пример за формата — не е измерване.</t>
        </is>
      </c>
    </row>
    <row r="4">
      <c r="A4" s="2" t="inlineStr">
        <is>
          <t>Празна клетка е по-добре от предположение: в дипломната работа влизат само измерени стойности. Пишете числата с единиците от заглавието на колоната.</t>
        </is>
      </c>
    </row>
    <row r="5">
      <c r="A5" s="2" t="inlineStr">
        <is>
          <t>Изпратете ми: този файл, попълнен + файловете със записа от серийния порт + снимките.</t>
        </is>
      </c>
    </row>
    <row r="7">
      <c r="A7" s="3" t="inlineStr">
        <is>
          <t>Легенда:</t>
        </is>
      </c>
      <c r="B7" s="4" t="inlineStr">
        <is>
          <t>попълва се</t>
        </is>
      </c>
      <c r="C7" s="5" t="inlineStr">
        <is>
          <t>изчислява се</t>
        </is>
      </c>
      <c r="E7" s="6" t="inlineStr">
        <is>
          <t>пример (не е измерване)</t>
        </is>
      </c>
    </row>
    <row r="9">
      <c r="A9" s="7" t="inlineStr">
        <is>
          <t>Общи данни</t>
        </is>
      </c>
    </row>
    <row r="10">
      <c r="B10" s="8" t="inlineStr">
        <is>
          <t>Мултиметър — производител и модел</t>
        </is>
      </c>
      <c r="C10" s="9" t="n"/>
      <c r="D10" s="10" t="n"/>
      <c r="E10" s="4" t="n"/>
    </row>
    <row r="11">
      <c r="B11" s="8" t="inlineStr">
        <is>
          <t>Обхват за постоянно напрежение (напр. 20 V)</t>
        </is>
      </c>
      <c r="C11" s="9" t="n"/>
      <c r="D11" s="10" t="n"/>
      <c r="E11" s="4" t="n"/>
    </row>
    <row r="12">
      <c r="B12" s="8" t="inlineStr">
        <is>
          <t>Обхват за ток (напр. 200 mA / 10 A)</t>
        </is>
      </c>
      <c r="C12" s="9" t="n"/>
      <c r="D12" s="10" t="n"/>
      <c r="E12" s="4" t="n"/>
    </row>
    <row r="13">
      <c r="B13" s="8" t="inlineStr">
        <is>
          <t>Дата на измерванията</t>
        </is>
      </c>
      <c r="C13" s="9" t="n"/>
      <c r="D13" s="10" t="n"/>
      <c r="E13" s="11" t="n"/>
    </row>
    <row r="14">
      <c r="B14" s="8" t="inlineStr">
        <is>
          <t>Фърмуер v3 и на двата модула? (Да/Не)</t>
        </is>
      </c>
      <c r="C14" s="9" t="n"/>
      <c r="D14" s="10" t="n"/>
      <c r="E14" s="4" t="inlineStr">
        <is>
          <t>Да</t>
        </is>
      </c>
    </row>
    <row r="15">
      <c r="B15" s="8" t="inlineStr">
        <is>
          <t>Разстояние между модулите при Е1–Е9, m</t>
        </is>
      </c>
      <c r="C15" s="9" t="n"/>
      <c r="D15" s="10" t="n"/>
      <c r="E15" s="12" t="n"/>
    </row>
    <row r="17">
      <c r="A17" s="7" t="inlineStr">
        <is>
          <t>Къде се виждат резултатите</t>
        </is>
      </c>
    </row>
    <row r="18">
      <c r="A18" s="2" t="inlineStr">
        <is>
          <t>• LOG ON, PING и 7 се изпълняват и показват по UART на ГЛАВНИЯ модул — Serial Monitor (115200) или PuTTY.</t>
        </is>
      </c>
    </row>
    <row r="19">
      <c r="A19" s="2" t="inlineStr">
        <is>
          <t>• LOG ON: на всеки 2 s ред „LOG,…“ (първият ред е заглавието на колоните). Това са данни за графиките — не се преписват, а се изпраща файлът.</t>
        </is>
      </c>
    </row>
    <row r="20">
      <c r="A20" s="2" t="inlineStr">
        <is>
          <t>• PING 100: ~30 s, по един ред „PING,№,RTT в µs“ (или LOST), накрая „📶 Край на теста…“ и „RTT мин / ср / макс: … µs“.</t>
        </is>
      </c>
    </row>
    <row r="21">
      <c r="A21" s="2" t="inlineStr">
        <is>
          <t>• Същите резултати от PING се виждат и в уеб страницата — картата „⏱️ Измервания“; тя показва текущите стойности, но не пази история.</t>
        </is>
      </c>
    </row>
    <row r="22">
      <c r="A22" s="2" t="inlineStr">
        <is>
          <t>• Преди всеки опит: RESET STATS (или бутонът „НУЛИРАЙ СТАТИСТИКАТА“).</t>
        </is>
      </c>
    </row>
    <row r="24">
      <c r="A24" s="7" t="inlineStr">
        <is>
          <t>Запис във файл с PuTTY (задължително за опити над ~10 min)</t>
        </is>
      </c>
    </row>
    <row r="25">
      <c r="A25" s="2" t="inlineStr">
        <is>
          <t>1. Затворете Serial Monitor на Arduino IDE — портът се ползва само от една програма.</t>
        </is>
      </c>
    </row>
    <row r="26">
      <c r="A26" s="2" t="inlineStr">
        <is>
          <t>2. Session: Connection type = Serial; Serial line = COMx (Arduino IDE → Tools → Port); Speed = 115200.</t>
        </is>
      </c>
    </row>
    <row r="27">
      <c r="A27" s="2" t="inlineStr">
        <is>
          <t>3. Connection → Serial: Flow control = None.</t>
        </is>
      </c>
    </row>
    <row r="28">
      <c r="A28" s="2" t="inlineStr">
        <is>
          <t>4. Terminal: Local echo = Force on; Local line editing = Force on  ← без това командите не се разпознават.</t>
        </is>
      </c>
    </row>
    <row r="29">
      <c r="A29" s="2" t="inlineStr">
        <is>
          <t>5. Window → Translation: Remote character set = UTF-8 (за кирилицата).</t>
        </is>
      </c>
    </row>
    <row r="30">
      <c r="A30" s="2" t="inlineStr">
        <is>
          <t>6. Session → Logging: All session output; Log file name, напр. C:\izmervania\master_&amp;Y&amp;M&amp;D_&amp;T.log</t>
        </is>
      </c>
    </row>
    <row r="31">
      <c r="A31" s="2" t="inlineStr">
        <is>
          <t>7. Session → Saved Sessions: ESP Master → Save → Open. Ако главният модул се рестартира при отварянето — изчакайте ~10 s.</t>
        </is>
      </c>
    </row>
    <row r="32">
      <c r="A32" s="2" t="inlineStr">
        <is>
          <t>8. За дългите опити изключете заспиването на компютъра (Settings → Power → Sleep: Never).</t>
        </is>
      </c>
    </row>
    <row r="33">
      <c r="A33" s="2" t="inlineStr">
        <is>
          <t>За кратки опити (PING, до ~10 min LOG) е достатъчен и Serial Monitor: маркирайте текста, Ctrl+C, поставете в Notepad и запишете.</t>
        </is>
      </c>
    </row>
    <row r="35">
      <c r="A35" s="7" t="inlineStr">
        <is>
          <t>Ред на опитите</t>
        </is>
      </c>
    </row>
    <row r="36" ht="45" customHeight="1">
      <c r="A36" s="13" t="inlineStr">
        <is>
          <t>№</t>
        </is>
      </c>
      <c r="B36" s="13" t="inlineStr">
        <is>
          <t>Опит</t>
        </is>
      </c>
      <c r="C36" s="13" t="inlineStr">
        <is>
          <t>Лист</t>
        </is>
      </c>
      <c r="D36" s="13" t="inlineStr">
        <is>
          <t>Време</t>
        </is>
      </c>
      <c r="E36" s="13" t="inlineStr">
        <is>
          <t>Нужно</t>
        </is>
      </c>
      <c r="F36" s="13" t="inlineStr">
        <is>
          <t>Готово?</t>
        </is>
      </c>
    </row>
    <row r="37">
      <c r="A37" s="14" t="inlineStr">
        <is>
          <t>Е3</t>
        </is>
      </c>
      <c r="B37" s="8" t="inlineStr">
        <is>
          <t>Точност на VCC (A0)</t>
        </is>
      </c>
      <c r="C37" s="8" t="inlineStr">
        <is>
          <t>Е3 VCC</t>
        </is>
      </c>
      <c r="D37" s="8" t="inlineStr">
        <is>
          <t>20 min</t>
        </is>
      </c>
      <c r="E37" s="8" t="inlineStr">
        <is>
          <t>мултиметър</t>
        </is>
      </c>
      <c r="F37" s="4" t="n"/>
    </row>
    <row r="38">
      <c r="A38" s="14" t="inlineStr">
        <is>
          <t>Е6</t>
        </is>
      </c>
      <c r="B38" s="8" t="inlineStr">
        <is>
          <t>Бутони и филтър</t>
        </is>
      </c>
      <c r="C38" s="8" t="inlineStr">
        <is>
          <t>Е6 Бутони</t>
        </is>
      </c>
      <c r="D38" s="8" t="inlineStr">
        <is>
          <t>10 min</t>
        </is>
      </c>
      <c r="E38" s="8" t="inlineStr">
        <is>
          <t>—</t>
        </is>
      </c>
      <c r="F38" s="4" t="n"/>
    </row>
    <row r="39">
      <c r="A39" s="14" t="inlineStr">
        <is>
          <t>Е7</t>
        </is>
      </c>
      <c r="B39" s="8" t="inlineStr">
        <is>
          <t>Защита от влага</t>
        </is>
      </c>
      <c r="C39" s="8" t="inlineStr">
        <is>
          <t>Е7 Влага</t>
        </is>
      </c>
      <c r="D39" s="8" t="inlineStr">
        <is>
          <t>15 min</t>
        </is>
      </c>
      <c r="E39" s="8" t="inlineStr">
        <is>
          <t>мултиметър, вода</t>
        </is>
      </c>
      <c r="F39" s="4" t="n"/>
    </row>
    <row r="40">
      <c r="A40" s="14" t="inlineStr">
        <is>
          <t>Е8</t>
        </is>
      </c>
      <c r="B40" s="8" t="inlineStr">
        <is>
          <t>Закъснение (PING)</t>
        </is>
      </c>
      <c r="C40" s="8" t="inlineStr">
        <is>
          <t>Е8 PING</t>
        </is>
      </c>
      <c r="D40" s="8" t="inlineStr">
        <is>
          <t>10 min</t>
        </is>
      </c>
      <c r="E40" s="8" t="inlineStr">
        <is>
          <t>компютър (UART на главния)</t>
        </is>
      </c>
      <c r="F40" s="4" t="n"/>
    </row>
    <row r="41">
      <c r="A41" s="14" t="inlineStr">
        <is>
          <t>Е1</t>
        </is>
      </c>
      <c r="B41" s="8" t="inlineStr">
        <is>
          <t>Време за цикъл</t>
        </is>
      </c>
      <c r="C41" s="8" t="inlineStr">
        <is>
          <t>Е1 Цикъл</t>
        </is>
      </c>
      <c r="D41" s="8" t="inlineStr">
        <is>
          <t>30 min</t>
        </is>
      </c>
      <c r="E41" s="8" t="inlineStr">
        <is>
          <t>компютър + PuTTY, 3 клиента</t>
        </is>
      </c>
      <c r="F41" s="4" t="n"/>
    </row>
    <row r="42">
      <c r="A42" s="14" t="inlineStr">
        <is>
          <t>Е12</t>
        </is>
      </c>
      <c r="B42" s="8" t="inlineStr">
        <is>
          <t>Поведение при включване</t>
        </is>
      </c>
      <c r="C42" s="8" t="inlineStr">
        <is>
          <t>Е12 Включване</t>
        </is>
      </c>
      <c r="D42" s="8" t="inlineStr">
        <is>
          <t>5 min</t>
        </is>
      </c>
      <c r="E42" s="8" t="inlineStr">
        <is>
          <t>—</t>
        </is>
      </c>
      <c r="F42" s="4" t="n"/>
    </row>
    <row r="43">
      <c r="A43" s="14" t="inlineStr">
        <is>
          <t>Е9</t>
        </is>
      </c>
      <c r="B43" s="8" t="inlineStr">
        <is>
          <t>Надеждност на връзката</t>
        </is>
      </c>
      <c r="C43" s="8" t="inlineStr">
        <is>
          <t>Е9 Надеждност</t>
        </is>
      </c>
      <c r="D43" s="8" t="inlineStr">
        <is>
          <t>≥ 1 h (без намеса)</t>
        </is>
      </c>
      <c r="E43" s="8" t="inlineStr">
        <is>
          <t>компютър + PuTTY</t>
        </is>
      </c>
      <c r="F43" s="4" t="n"/>
    </row>
    <row r="44">
      <c r="A44" s="14" t="inlineStr">
        <is>
          <t>Е4</t>
        </is>
      </c>
      <c r="B44" s="8" t="inlineStr">
        <is>
          <t>Нива на изводите (по желание)</t>
        </is>
      </c>
      <c r="C44" s="8" t="inlineStr">
        <is>
          <t>Е4 Изводи</t>
        </is>
      </c>
      <c r="D44" s="8" t="inlineStr">
        <is>
          <t>10 min</t>
        </is>
      </c>
      <c r="E44" s="8" t="inlineStr">
        <is>
          <t>мултиметър</t>
        </is>
      </c>
      <c r="F44" s="4" t="n"/>
    </row>
    <row r="45">
      <c r="A45" s="14" t="inlineStr">
        <is>
          <t>Е5</t>
        </is>
      </c>
      <c r="B45" s="8" t="inlineStr">
        <is>
          <t>Ток на релетата (по желание)</t>
        </is>
      </c>
      <c r="C45" s="8" t="inlineStr">
        <is>
          <t>Е5 Ток</t>
        </is>
      </c>
      <c r="D45" s="8" t="inlineStr">
        <is>
          <t>10 min</t>
        </is>
      </c>
      <c r="E45" s="8" t="inlineStr">
        <is>
          <t>мултиметър (mA)</t>
        </is>
      </c>
      <c r="F45" s="4" t="n"/>
    </row>
    <row r="46">
      <c r="A46" s="14" t="inlineStr">
        <is>
          <t>Е2</t>
        </is>
      </c>
      <c r="B46" s="8" t="inlineStr">
        <is>
          <t>DHT11 и максимумът (по желание)</t>
        </is>
      </c>
      <c r="C46" s="8" t="inlineStr">
        <is>
          <t>Е2 DHT11</t>
        </is>
      </c>
      <c r="D46" s="8" t="inlineStr">
        <is>
          <t>15 min</t>
        </is>
      </c>
      <c r="E46" s="8" t="inlineStr">
        <is>
          <t>компютър + PuTTY</t>
        </is>
      </c>
      <c r="F46" s="4" t="n"/>
    </row>
    <row r="47">
      <c r="A47" s="14" t="inlineStr">
        <is>
          <t>Е11</t>
        </is>
      </c>
      <c r="B47" s="8" t="inlineStr">
        <is>
          <t>Дълготраен тест (по желание)</t>
        </is>
      </c>
      <c r="C47" s="8" t="inlineStr">
        <is>
          <t>Е11 24 часа</t>
        </is>
      </c>
      <c r="D47" s="8" t="inlineStr">
        <is>
          <t>24 h</t>
        </is>
      </c>
      <c r="E47" s="8" t="inlineStr">
        <is>
          <t>компютър + PuTTY</t>
        </is>
      </c>
      <c r="F47" s="4" t="n"/>
    </row>
    <row r="48">
      <c r="A48" s="14" t="inlineStr">
        <is>
          <t>Е10</t>
        </is>
      </c>
      <c r="B48" s="8" t="inlineStr">
        <is>
          <t>Обхват (по желание)</t>
        </is>
      </c>
      <c r="C48" s="8" t="inlineStr">
        <is>
          <t>Е10 Обхват</t>
        </is>
      </c>
      <c r="D48" s="8" t="inlineStr">
        <is>
          <t>20 min</t>
        </is>
      </c>
      <c r="E48" s="8" t="inlineStr">
        <is>
          <t>power bank</t>
        </is>
      </c>
      <c r="F48" s="4" t="n"/>
    </row>
    <row r="49">
      <c r="A49" s="14" t="inlineStr">
        <is>
          <t>Е13</t>
        </is>
      </c>
      <c r="B49" s="8" t="inlineStr">
        <is>
          <t>Отговор на уеб сървъра (по желание)</t>
        </is>
      </c>
      <c r="C49" s="8" t="inlineStr">
        <is>
          <t>Е13 Уеб</t>
        </is>
      </c>
      <c r="D49" s="8" t="inlineStr">
        <is>
          <t>10 min</t>
        </is>
      </c>
      <c r="E49" s="8" t="inlineStr">
        <is>
          <t>Chrome (F12)</t>
        </is>
      </c>
      <c r="F49" s="4" t="n"/>
    </row>
    <row r="50">
      <c r="A50" s="14" t="inlineStr">
        <is>
          <t>—</t>
        </is>
      </c>
      <c r="B50" s="8" t="inlineStr">
        <is>
          <t>Снимки</t>
        </is>
      </c>
      <c r="C50" s="8" t="inlineStr">
        <is>
          <t>Снимки</t>
        </is>
      </c>
      <c r="D50" s="8" t="inlineStr">
        <is>
          <t>15 min</t>
        </is>
      </c>
      <c r="E50" s="8" t="inlineStr">
        <is>
          <t>телефон</t>
        </is>
      </c>
      <c r="F50" s="4" t="n"/>
    </row>
  </sheetData>
  <mergeCells count="6">
    <mergeCell ref="B10:D10"/>
    <mergeCell ref="B11:D11"/>
    <mergeCell ref="B14:D14"/>
    <mergeCell ref="B15:D15"/>
    <mergeCell ref="B13:D13"/>
    <mergeCell ref="B12:D12"/>
  </mergeCells>
  <dataValidations count="2">
    <dataValidation sqref="E14" showDropDown="0" showInputMessage="0" showErrorMessage="0" allowBlank="1" errorTitle="Невалидна стойност" error="Изберете Да или Не" type="list">
      <formula1>"Да,Не"</formula1>
    </dataValidation>
    <dataValidation sqref="F37:F50" showDropDown="0" showInputMessage="0" showErrorMessage="0" allowBlank="1" errorTitle="Невалидна стойност" error="Изберете Да или Не" type="list">
      <formula1>"Да,Не"</formula1>
    </dataValidation>
  </dataValidation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3" customWidth="1" min="3" max="3"/>
    <col width="12" customWidth="1" min="4" max="4"/>
    <col width="12" customWidth="1" min="5" max="5"/>
    <col width="34" customWidth="1" min="6" max="6"/>
    <col width="30" customWidth="1" min="7" max="7"/>
  </cols>
  <sheetData>
    <row r="1">
      <c r="A1" s="1" t="inlineStr">
        <is>
          <t>Е1. Време за цикъл на двата модула</t>
        </is>
      </c>
    </row>
    <row r="3">
      <c r="A3" s="2" t="inlineStr">
        <is>
          <t>Числата се вземат от записа (LOG ON) — тук записвате само КОГА какъв режим е бил. RESET STATS в началото.</t>
        </is>
      </c>
    </row>
    <row r="4">
      <c r="A4" s="2" t="inlineStr">
        <is>
          <t>Главният модул е свързан към компютъра, PuTTY записва във файл → LOG ON → по 10 min във всеки режим; отбелязвайте смяната на режима с Enter в PuTTY.</t>
        </is>
      </c>
    </row>
    <row r="5">
      <c r="A5" s="2" t="inlineStr">
        <is>
          <t>Не пишете в UART на подчинения модул по време на опита. Накрая: LOG OFF.</t>
        </is>
      </c>
    </row>
    <row r="7">
      <c r="A7" s="15" t="inlineStr">
        <is>
          <t>Пример:</t>
        </is>
      </c>
      <c r="B7" s="16" t="n">
        <v>1</v>
      </c>
      <c r="C7" s="16" t="inlineStr">
        <is>
          <t>25.09.2026</t>
        </is>
      </c>
      <c r="D7" s="16" t="inlineStr">
        <is>
          <t>14:05</t>
        </is>
      </c>
      <c r="E7" s="16" t="inlineStr">
        <is>
          <t>14:15</t>
        </is>
      </c>
      <c r="F7" s="16" t="inlineStr">
        <is>
          <t>master_20260925_140312.log</t>
        </is>
      </c>
      <c r="G7" s="16" t="inlineStr">
        <is>
          <t>телефон, Wi-Fi</t>
        </is>
      </c>
    </row>
    <row r="8" ht="45" customHeight="1">
      <c r="A8" s="13" t="inlineStr">
        <is>
          <t>Режим</t>
        </is>
      </c>
      <c r="B8" s="13" t="inlineStr">
        <is>
          <t>Брой уеб клиенти</t>
        </is>
      </c>
      <c r="C8" s="13" t="inlineStr">
        <is>
          <t>Дата</t>
        </is>
      </c>
      <c r="D8" s="13" t="inlineStr">
        <is>
          <t>Начален час</t>
        </is>
      </c>
      <c r="E8" s="13" t="inlineStr">
        <is>
          <t>Краен час</t>
        </is>
      </c>
      <c r="F8" s="13" t="inlineStr">
        <is>
          <t>Файл със записа</t>
        </is>
      </c>
      <c r="G8" s="13" t="inlineStr">
        <is>
          <t>Бележка</t>
        </is>
      </c>
    </row>
    <row r="9">
      <c r="A9" s="14" t="inlineStr">
        <is>
          <t>А — без браузър</t>
        </is>
      </c>
      <c r="B9" s="8" t="n">
        <v>0</v>
      </c>
      <c r="C9" s="11" t="n"/>
      <c r="D9" s="17" t="n"/>
      <c r="E9" s="17" t="n"/>
      <c r="F9" s="4" t="n"/>
      <c r="G9" s="4" t="n"/>
    </row>
    <row r="10">
      <c r="A10" s="14" t="inlineStr">
        <is>
          <t>Б — 1 клиент</t>
        </is>
      </c>
      <c r="B10" s="8" t="n">
        <v>1</v>
      </c>
      <c r="C10" s="11" t="n"/>
      <c r="D10" s="17" t="n"/>
      <c r="E10" s="17" t="n"/>
      <c r="F10" s="4" t="n"/>
      <c r="G10" s="4" t="n"/>
    </row>
    <row r="11">
      <c r="A11" s="14" t="inlineStr">
        <is>
          <t>В — 3 клиента</t>
        </is>
      </c>
      <c r="B11" s="8" t="n">
        <v>3</v>
      </c>
      <c r="C11" s="11" t="n"/>
      <c r="D11" s="17" t="n"/>
      <c r="E11" s="17" t="n"/>
      <c r="F11" s="4" t="n"/>
      <c r="G11" s="4" t="n"/>
    </row>
    <row r="12">
      <c r="A12" s="14" t="inlineStr">
        <is>
          <t>v2 за сравнение (по желание)</t>
        </is>
      </c>
      <c r="B12" s="4" t="n"/>
      <c r="C12" s="11" t="n"/>
      <c r="D12" s="17" t="n"/>
      <c r="E12" s="17" t="n"/>
      <c r="F12" s="4" t="n"/>
      <c r="G12" s="4" t="n"/>
    </row>
    <row r="14">
      <c r="A14" s="18" t="inlineStr">
        <is>
          <t>v2 за сравнение: v2_original/Master + v2_izmervane/Slave, запис от UART на ПОДЧИНЕНИЯ модул (редове V2LOOP), после отново v3.</t>
        </is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2" customWidth="1" min="3" max="3"/>
    <col width="12" customWidth="1" min="4" max="4"/>
    <col width="34" customWidth="1" min="5" max="5"/>
    <col width="30" customWidth="1" min="6" max="6"/>
  </cols>
  <sheetData>
    <row r="1">
      <c r="A1" s="1" t="inlineStr">
        <is>
          <t>Е2. Причина за максималното време — четенето на DHT11</t>
        </is>
      </c>
    </row>
    <row r="3">
      <c r="A3" s="2" t="inlineStr">
        <is>
          <t>С LOG ON на главния: SET INTERVAL 500, SAVE, PUSH → 5 min; SET INTERVAL 5000, SAVE, PUSH → 5 min; накрая SET INTERVAL 2000, SAVE, PUSH.</t>
        </is>
      </c>
    </row>
    <row r="4">
      <c r="A4" s="2" t="inlineStr">
        <is>
          <t>Резултатът е във файла със записа — тук се записват само часовете.</t>
        </is>
      </c>
    </row>
    <row r="6">
      <c r="A6" s="15" t="inlineStr">
        <is>
          <t>Пример:</t>
        </is>
      </c>
      <c r="B6" s="16" t="inlineStr">
        <is>
          <t>25.09.2026</t>
        </is>
      </c>
      <c r="C6" s="16" t="inlineStr">
        <is>
          <t>15:00</t>
        </is>
      </c>
      <c r="D6" s="16" t="inlineStr">
        <is>
          <t>15:05</t>
        </is>
      </c>
      <c r="E6" s="16" t="inlineStr">
        <is>
          <t>master_20260925_145800.log</t>
        </is>
      </c>
      <c r="F6" s="16" t="inlineStr"/>
    </row>
    <row r="7" ht="45" customHeight="1">
      <c r="A7" s="13" t="inlineStr">
        <is>
          <t>Интервал, ms</t>
        </is>
      </c>
      <c r="B7" s="13" t="inlineStr">
        <is>
          <t>Дата</t>
        </is>
      </c>
      <c r="C7" s="13" t="inlineStr">
        <is>
          <t>Начален час</t>
        </is>
      </c>
      <c r="D7" s="13" t="inlineStr">
        <is>
          <t>Краен час</t>
        </is>
      </c>
      <c r="E7" s="13" t="inlineStr">
        <is>
          <t>Файл със записа</t>
        </is>
      </c>
      <c r="F7" s="13" t="inlineStr">
        <is>
          <t>Бележка</t>
        </is>
      </c>
    </row>
    <row r="8">
      <c r="A8" s="14" t="n">
        <v>500</v>
      </c>
      <c r="B8" s="11" t="n"/>
      <c r="C8" s="17" t="n"/>
      <c r="D8" s="17" t="n"/>
      <c r="E8" s="4" t="n"/>
      <c r="F8" s="4" t="n"/>
    </row>
    <row r="9">
      <c r="A9" s="14" t="n">
        <v>5000</v>
      </c>
      <c r="B9" s="11" t="n"/>
      <c r="C9" s="17" t="n"/>
      <c r="D9" s="17" t="n"/>
      <c r="E9" s="4" t="n"/>
      <c r="F9" s="4" t="n"/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5" customWidth="1" min="9" max="9"/>
    <col width="15" customWidth="1" min="10" max="10"/>
    <col width="14" customWidth="1" min="11" max="11"/>
    <col width="12" customWidth="1" min="12" max="12"/>
  </cols>
  <sheetData>
    <row r="1">
      <c r="A1" s="1" t="inlineStr">
        <is>
          <t>Е3. Точност на измерването на напрежението (A0)</t>
        </is>
      </c>
    </row>
    <row r="3">
      <c r="A3" s="2" t="inlineStr">
        <is>
          <t>Включвайте релетата едно по едно от уеб страницата; след всяка промяна изчакайте ~3 s. VCC и A0 се четат от картите „Диагностика“ и „Измервания“.</t>
        </is>
      </c>
    </row>
    <row r="4">
      <c r="A4" s="2" t="inlineStr">
        <is>
          <t>U_VIN — мултиметър между VIN и GND на платката на подчинения модул (точката, към която е свързан делителят). U_мод — VCC–GND на модула на реле 4. U_A0 — A0–GND.</t>
        </is>
      </c>
    </row>
    <row r="6">
      <c r="A6" s="7" t="inlineStr">
        <is>
          <t>Константи (от кода)</t>
        </is>
      </c>
      <c r="G6" s="7" t="inlineStr">
        <is>
          <t>Делител към A0</t>
        </is>
      </c>
    </row>
    <row r="7">
      <c r="A7" s="8" t="inlineStr">
        <is>
          <t>Пълна скала на A0 (A0 = 1024), V</t>
        </is>
      </c>
      <c r="B7" s="9" t="n"/>
      <c r="C7" s="9" t="n"/>
      <c r="D7" s="10" t="n"/>
      <c r="E7" s="19" t="n">
        <v>10.91</v>
      </c>
      <c r="G7" s="8" t="inlineStr">
        <is>
          <t>R горен (VIN → A0), kΩ</t>
        </is>
      </c>
      <c r="H7" s="9" t="n"/>
      <c r="I7" s="10" t="n"/>
      <c r="J7" s="20" t="n"/>
    </row>
    <row r="8">
      <c r="A8" s="8" t="inlineStr">
        <is>
          <t>Корекция за 1 включено реле, V</t>
        </is>
      </c>
      <c r="B8" s="9" t="n"/>
      <c r="C8" s="9" t="n"/>
      <c r="D8" s="10" t="n"/>
      <c r="E8" s="19" t="n">
        <v>0.055</v>
      </c>
      <c r="G8" s="8" t="inlineStr">
        <is>
          <t>R долен (A0 → GND), kΩ</t>
        </is>
      </c>
      <c r="H8" s="9" t="n"/>
      <c r="I8" s="10" t="n"/>
      <c r="J8" s="20" t="n"/>
    </row>
    <row r="9">
      <c r="A9" s="8" t="inlineStr">
        <is>
          <t>VCCOFFSET (уеб: „Корекция на VCC“), V</t>
        </is>
      </c>
      <c r="B9" s="9" t="n"/>
      <c r="C9" s="9" t="n"/>
      <c r="D9" s="10" t="n"/>
      <c r="E9" s="20" t="n">
        <v>0</v>
      </c>
      <c r="G9" s="8" t="inlineStr">
        <is>
          <t>Пълна скала по резисторите, V</t>
        </is>
      </c>
      <c r="H9" s="9" t="n"/>
      <c r="I9" s="10" t="n"/>
      <c r="J9" s="21">
        <f>IF(OR(J7="",J8=""),"",3.2*(J7+J8*320/(J8+320))/(J8*320/(J8+320)))</f>
        <v/>
      </c>
    </row>
    <row r="10">
      <c r="G10" s="8" t="inlineStr">
        <is>
          <t>Разлика спрямо 10,91 V</t>
        </is>
      </c>
      <c r="H10" s="9" t="n"/>
      <c r="I10" s="10" t="n"/>
      <c r="J10" s="22">
        <f>IF(J9="","",J9/$E$7-1)</f>
        <v/>
      </c>
    </row>
    <row r="12">
      <c r="A12" s="15" t="inlineStr">
        <is>
          <t>Пример:</t>
        </is>
      </c>
      <c r="B12" s="23" t="n">
        <v>2</v>
      </c>
      <c r="C12" s="24" t="n">
        <v>5</v>
      </c>
      <c r="D12" s="24" t="n">
        <v>4.95</v>
      </c>
      <c r="E12" s="25" t="n">
        <v>1.45</v>
      </c>
      <c r="F12" s="24" t="n">
        <v>5</v>
      </c>
      <c r="G12" s="26" t="n">
        <v>470</v>
      </c>
    </row>
    <row r="13" ht="45" customHeight="1">
      <c r="A13" s="13" t="inlineStr">
        <is>
          <t>Серия</t>
        </is>
      </c>
      <c r="B13" s="13" t="inlineStr">
        <is>
          <t>Вкл. релета</t>
        </is>
      </c>
      <c r="C13" s="13" t="inlineStr">
        <is>
          <t>U_VIN (мултим.), V</t>
        </is>
      </c>
      <c r="D13" s="13" t="inlineStr">
        <is>
          <t>U_мод (мултим.), V</t>
        </is>
      </c>
      <c r="E13" s="13" t="inlineStr">
        <is>
          <t>U_A0 (мултим.), V</t>
        </is>
      </c>
      <c r="F13" s="13" t="inlineStr">
        <is>
          <t>VCC (уеб), V</t>
        </is>
      </c>
      <c r="G13" s="13" t="inlineStr">
        <is>
          <t>A0 средно (уеб)</t>
        </is>
      </c>
      <c r="H13" s="13" t="inlineStr">
        <is>
          <t>VCC без корекция за релетата, V</t>
        </is>
      </c>
      <c r="I13" s="13" t="inlineStr">
        <is>
          <t>Грешка с корекция (уеб − U_VIN), mV</t>
        </is>
      </c>
      <c r="J13" s="13" t="inlineStr">
        <is>
          <t>Грешка без корекция, mV</t>
        </is>
      </c>
      <c r="K13" s="13" t="inlineStr">
        <is>
          <t>Спад VIN → модул, mV</t>
        </is>
      </c>
      <c r="L13" s="13" t="inlineStr">
        <is>
          <t>U_A0 / U_VIN</t>
        </is>
      </c>
    </row>
    <row r="14">
      <c r="A14" s="14" t="n">
        <v>1</v>
      </c>
      <c r="B14" s="8" t="n">
        <v>0</v>
      </c>
      <c r="C14" s="20" t="n"/>
      <c r="D14" s="20" t="n"/>
      <c r="E14" s="27" t="n"/>
      <c r="F14" s="20" t="n"/>
      <c r="G14" s="12" t="n"/>
      <c r="H14" s="19">
        <f>IF(G14="","",G14/1024*$E$7+$E$9)</f>
        <v/>
      </c>
      <c r="I14" s="28">
        <f>IF(OR(F14="",C14=""),"",(F14-C14)*1000)</f>
        <v/>
      </c>
      <c r="J14" s="28">
        <f>IF(OR(H14="",C14=""),"",(H14-C14)*1000)</f>
        <v/>
      </c>
      <c r="K14" s="28">
        <f>IF(OR(C14="",D14=""),"",(C14-D14)*1000)</f>
        <v/>
      </c>
      <c r="L14" s="29">
        <f>IF(OR(E14="",C14=""),"",E14/C14)</f>
        <v/>
      </c>
    </row>
    <row r="15">
      <c r="A15" s="14" t="n">
        <v>1</v>
      </c>
      <c r="B15" s="8" t="n">
        <v>1</v>
      </c>
      <c r="C15" s="20" t="n"/>
      <c r="D15" s="20" t="n"/>
      <c r="E15" s="27" t="n"/>
      <c r="F15" s="20" t="n"/>
      <c r="G15" s="12" t="n"/>
      <c r="H15" s="19">
        <f>IF(G15="","",G15/1024*$E$7+$E$9)</f>
        <v/>
      </c>
      <c r="I15" s="28">
        <f>IF(OR(F15="",C15=""),"",(F15-C15)*1000)</f>
        <v/>
      </c>
      <c r="J15" s="28">
        <f>IF(OR(H15="",C15=""),"",(H15-C15)*1000)</f>
        <v/>
      </c>
      <c r="K15" s="28">
        <f>IF(OR(C15="",D15=""),"",(C15-D15)*1000)</f>
        <v/>
      </c>
      <c r="L15" s="29">
        <f>IF(OR(E15="",C15=""),"",E15/C15)</f>
        <v/>
      </c>
    </row>
    <row r="16">
      <c r="A16" s="14" t="n">
        <v>1</v>
      </c>
      <c r="B16" s="8" t="n">
        <v>2</v>
      </c>
      <c r="C16" s="20" t="n"/>
      <c r="D16" s="20" t="n"/>
      <c r="E16" s="27" t="n"/>
      <c r="F16" s="20" t="n"/>
      <c r="G16" s="12" t="n"/>
      <c r="H16" s="19">
        <f>IF(G16="","",G16/1024*$E$7+$E$9)</f>
        <v/>
      </c>
      <c r="I16" s="28">
        <f>IF(OR(F16="",C16=""),"",(F16-C16)*1000)</f>
        <v/>
      </c>
      <c r="J16" s="28">
        <f>IF(OR(H16="",C16=""),"",(H16-C16)*1000)</f>
        <v/>
      </c>
      <c r="K16" s="28">
        <f>IF(OR(C16="",D16=""),"",(C16-D16)*1000)</f>
        <v/>
      </c>
      <c r="L16" s="29">
        <f>IF(OR(E16="",C16=""),"",E16/C16)</f>
        <v/>
      </c>
    </row>
    <row r="17">
      <c r="A17" s="14" t="n">
        <v>1</v>
      </c>
      <c r="B17" s="8" t="n">
        <v>3</v>
      </c>
      <c r="C17" s="20" t="n"/>
      <c r="D17" s="20" t="n"/>
      <c r="E17" s="27" t="n"/>
      <c r="F17" s="20" t="n"/>
      <c r="G17" s="12" t="n"/>
      <c r="H17" s="19">
        <f>IF(G17="","",G17/1024*$E$7+$E$9)</f>
        <v/>
      </c>
      <c r="I17" s="28">
        <f>IF(OR(F17="",C17=""),"",(F17-C17)*1000)</f>
        <v/>
      </c>
      <c r="J17" s="28">
        <f>IF(OR(H17="",C17=""),"",(H17-C17)*1000)</f>
        <v/>
      </c>
      <c r="K17" s="28">
        <f>IF(OR(C17="",D17=""),"",(C17-D17)*1000)</f>
        <v/>
      </c>
      <c r="L17" s="29">
        <f>IF(OR(E17="",C17=""),"",E17/C17)</f>
        <v/>
      </c>
    </row>
    <row r="18">
      <c r="A18" s="14" t="n">
        <v>1</v>
      </c>
      <c r="B18" s="8" t="n">
        <v>4</v>
      </c>
      <c r="C18" s="20" t="n"/>
      <c r="D18" s="20" t="n"/>
      <c r="E18" s="27" t="n"/>
      <c r="F18" s="20" t="n"/>
      <c r="G18" s="12" t="n"/>
      <c r="H18" s="19">
        <f>IF(G18="","",G18/1024*$E$7+$E$9)</f>
        <v/>
      </c>
      <c r="I18" s="28">
        <f>IF(OR(F18="",C18=""),"",(F18-C18)*1000)</f>
        <v/>
      </c>
      <c r="J18" s="28">
        <f>IF(OR(H18="",C18=""),"",(H18-C18)*1000)</f>
        <v/>
      </c>
      <c r="K18" s="28">
        <f>IF(OR(C18="",D18=""),"",(C18-D18)*1000)</f>
        <v/>
      </c>
      <c r="L18" s="29">
        <f>IF(OR(E18="",C18=""),"",E18/C18)</f>
        <v/>
      </c>
    </row>
    <row r="19">
      <c r="A19" s="14" t="n">
        <v>2</v>
      </c>
      <c r="B19" s="8" t="n">
        <v>0</v>
      </c>
      <c r="C19" s="20" t="n"/>
      <c r="D19" s="20" t="n"/>
      <c r="E19" s="27" t="n"/>
      <c r="F19" s="20" t="n"/>
      <c r="G19" s="12" t="n"/>
      <c r="H19" s="19">
        <f>IF(G19="","",G19/1024*$E$7+$E$9)</f>
        <v/>
      </c>
      <c r="I19" s="28">
        <f>IF(OR(F19="",C19=""),"",(F19-C19)*1000)</f>
        <v/>
      </c>
      <c r="J19" s="28">
        <f>IF(OR(H19="",C19=""),"",(H19-C19)*1000)</f>
        <v/>
      </c>
      <c r="K19" s="28">
        <f>IF(OR(C19="",D19=""),"",(C19-D19)*1000)</f>
        <v/>
      </c>
      <c r="L19" s="29">
        <f>IF(OR(E19="",C19=""),"",E19/C19)</f>
        <v/>
      </c>
    </row>
    <row r="20">
      <c r="A20" s="14" t="n">
        <v>2</v>
      </c>
      <c r="B20" s="8" t="n">
        <v>1</v>
      </c>
      <c r="C20" s="20" t="n"/>
      <c r="D20" s="20" t="n"/>
      <c r="E20" s="27" t="n"/>
      <c r="F20" s="20" t="n"/>
      <c r="G20" s="12" t="n"/>
      <c r="H20" s="19">
        <f>IF(G20="","",G20/1024*$E$7+$E$9)</f>
        <v/>
      </c>
      <c r="I20" s="28">
        <f>IF(OR(F20="",C20=""),"",(F20-C20)*1000)</f>
        <v/>
      </c>
      <c r="J20" s="28">
        <f>IF(OR(H20="",C20=""),"",(H20-C20)*1000)</f>
        <v/>
      </c>
      <c r="K20" s="28">
        <f>IF(OR(C20="",D20=""),"",(C20-D20)*1000)</f>
        <v/>
      </c>
      <c r="L20" s="29">
        <f>IF(OR(E20="",C20=""),"",E20/C20)</f>
        <v/>
      </c>
    </row>
    <row r="21">
      <c r="A21" s="14" t="n">
        <v>2</v>
      </c>
      <c r="B21" s="8" t="n">
        <v>2</v>
      </c>
      <c r="C21" s="20" t="n"/>
      <c r="D21" s="20" t="n"/>
      <c r="E21" s="27" t="n"/>
      <c r="F21" s="20" t="n"/>
      <c r="G21" s="12" t="n"/>
      <c r="H21" s="19">
        <f>IF(G21="","",G21/1024*$E$7+$E$9)</f>
        <v/>
      </c>
      <c r="I21" s="28">
        <f>IF(OR(F21="",C21=""),"",(F21-C21)*1000)</f>
        <v/>
      </c>
      <c r="J21" s="28">
        <f>IF(OR(H21="",C21=""),"",(H21-C21)*1000)</f>
        <v/>
      </c>
      <c r="K21" s="28">
        <f>IF(OR(C21="",D21=""),"",(C21-D21)*1000)</f>
        <v/>
      </c>
      <c r="L21" s="29">
        <f>IF(OR(E21="",C21=""),"",E21/C21)</f>
        <v/>
      </c>
    </row>
    <row r="22">
      <c r="A22" s="14" t="n">
        <v>2</v>
      </c>
      <c r="B22" s="8" t="n">
        <v>3</v>
      </c>
      <c r="C22" s="20" t="n"/>
      <c r="D22" s="20" t="n"/>
      <c r="E22" s="27" t="n"/>
      <c r="F22" s="20" t="n"/>
      <c r="G22" s="12" t="n"/>
      <c r="H22" s="19">
        <f>IF(G22="","",G22/1024*$E$7+$E$9)</f>
        <v/>
      </c>
      <c r="I22" s="28">
        <f>IF(OR(F22="",C22=""),"",(F22-C22)*1000)</f>
        <v/>
      </c>
      <c r="J22" s="28">
        <f>IF(OR(H22="",C22=""),"",(H22-C22)*1000)</f>
        <v/>
      </c>
      <c r="K22" s="28">
        <f>IF(OR(C22="",D22=""),"",(C22-D22)*1000)</f>
        <v/>
      </c>
      <c r="L22" s="29">
        <f>IF(OR(E22="",C22=""),"",E22/C22)</f>
        <v/>
      </c>
    </row>
    <row r="23">
      <c r="A23" s="14" t="n">
        <v>2</v>
      </c>
      <c r="B23" s="8" t="n">
        <v>4</v>
      </c>
      <c r="C23" s="20" t="n"/>
      <c r="D23" s="20" t="n"/>
      <c r="E23" s="27" t="n"/>
      <c r="F23" s="20" t="n"/>
      <c r="G23" s="12" t="n"/>
      <c r="H23" s="19">
        <f>IF(G23="","",G23/1024*$E$7+$E$9)</f>
        <v/>
      </c>
      <c r="I23" s="28">
        <f>IF(OR(F23="",C23=""),"",(F23-C23)*1000)</f>
        <v/>
      </c>
      <c r="J23" s="28">
        <f>IF(OR(H23="",C23=""),"",(H23-C23)*1000)</f>
        <v/>
      </c>
      <c r="K23" s="28">
        <f>IF(OR(C23="",D23=""),"",(C23-D23)*1000)</f>
        <v/>
      </c>
      <c r="L23" s="29">
        <f>IF(OR(E23="",C23=""),"",E23/C23)</f>
        <v/>
      </c>
    </row>
    <row r="24">
      <c r="A24" s="14" t="n">
        <v>3</v>
      </c>
      <c r="B24" s="8" t="n">
        <v>0</v>
      </c>
      <c r="C24" s="20" t="n"/>
      <c r="D24" s="20" t="n"/>
      <c r="E24" s="27" t="n"/>
      <c r="F24" s="20" t="n"/>
      <c r="G24" s="12" t="n"/>
      <c r="H24" s="19">
        <f>IF(G24="","",G24/1024*$E$7+$E$9)</f>
        <v/>
      </c>
      <c r="I24" s="28">
        <f>IF(OR(F24="",C24=""),"",(F24-C24)*1000)</f>
        <v/>
      </c>
      <c r="J24" s="28">
        <f>IF(OR(H24="",C24=""),"",(H24-C24)*1000)</f>
        <v/>
      </c>
      <c r="K24" s="28">
        <f>IF(OR(C24="",D24=""),"",(C24-D24)*1000)</f>
        <v/>
      </c>
      <c r="L24" s="29">
        <f>IF(OR(E24="",C24=""),"",E24/C24)</f>
        <v/>
      </c>
    </row>
    <row r="25">
      <c r="A25" s="14" t="n">
        <v>3</v>
      </c>
      <c r="B25" s="8" t="n">
        <v>1</v>
      </c>
      <c r="C25" s="20" t="n"/>
      <c r="D25" s="20" t="n"/>
      <c r="E25" s="27" t="n"/>
      <c r="F25" s="20" t="n"/>
      <c r="G25" s="12" t="n"/>
      <c r="H25" s="19">
        <f>IF(G25="","",G25/1024*$E$7+$E$9)</f>
        <v/>
      </c>
      <c r="I25" s="28">
        <f>IF(OR(F25="",C25=""),"",(F25-C25)*1000)</f>
        <v/>
      </c>
      <c r="J25" s="28">
        <f>IF(OR(H25="",C25=""),"",(H25-C25)*1000)</f>
        <v/>
      </c>
      <c r="K25" s="28">
        <f>IF(OR(C25="",D25=""),"",(C25-D25)*1000)</f>
        <v/>
      </c>
      <c r="L25" s="29">
        <f>IF(OR(E25="",C25=""),"",E25/C25)</f>
        <v/>
      </c>
    </row>
    <row r="26">
      <c r="A26" s="14" t="n">
        <v>3</v>
      </c>
      <c r="B26" s="8" t="n">
        <v>2</v>
      </c>
      <c r="C26" s="20" t="n"/>
      <c r="D26" s="20" t="n"/>
      <c r="E26" s="27" t="n"/>
      <c r="F26" s="20" t="n"/>
      <c r="G26" s="12" t="n"/>
      <c r="H26" s="19">
        <f>IF(G26="","",G26/1024*$E$7+$E$9)</f>
        <v/>
      </c>
      <c r="I26" s="28">
        <f>IF(OR(F26="",C26=""),"",(F26-C26)*1000)</f>
        <v/>
      </c>
      <c r="J26" s="28">
        <f>IF(OR(H26="",C26=""),"",(H26-C26)*1000)</f>
        <v/>
      </c>
      <c r="K26" s="28">
        <f>IF(OR(C26="",D26=""),"",(C26-D26)*1000)</f>
        <v/>
      </c>
      <c r="L26" s="29">
        <f>IF(OR(E26="",C26=""),"",E26/C26)</f>
        <v/>
      </c>
    </row>
    <row r="27">
      <c r="A27" s="14" t="n">
        <v>3</v>
      </c>
      <c r="B27" s="8" t="n">
        <v>3</v>
      </c>
      <c r="C27" s="20" t="n"/>
      <c r="D27" s="20" t="n"/>
      <c r="E27" s="27" t="n"/>
      <c r="F27" s="20" t="n"/>
      <c r="G27" s="12" t="n"/>
      <c r="H27" s="19">
        <f>IF(G27="","",G27/1024*$E$7+$E$9)</f>
        <v/>
      </c>
      <c r="I27" s="28">
        <f>IF(OR(F27="",C27=""),"",(F27-C27)*1000)</f>
        <v/>
      </c>
      <c r="J27" s="28">
        <f>IF(OR(H27="",C27=""),"",(H27-C27)*1000)</f>
        <v/>
      </c>
      <c r="K27" s="28">
        <f>IF(OR(C27="",D27=""),"",(C27-D27)*1000)</f>
        <v/>
      </c>
      <c r="L27" s="29">
        <f>IF(OR(E27="",C27=""),"",E27/C27)</f>
        <v/>
      </c>
    </row>
    <row r="28">
      <c r="A28" s="14" t="n">
        <v>3</v>
      </c>
      <c r="B28" s="8" t="n">
        <v>4</v>
      </c>
      <c r="C28" s="20" t="n"/>
      <c r="D28" s="20" t="n"/>
      <c r="E28" s="27" t="n"/>
      <c r="F28" s="20" t="n"/>
      <c r="G28" s="12" t="n"/>
      <c r="H28" s="19">
        <f>IF(G28="","",G28/1024*$E$7+$E$9)</f>
        <v/>
      </c>
      <c r="I28" s="28">
        <f>IF(OR(F28="",C28=""),"",(F28-C28)*1000)</f>
        <v/>
      </c>
      <c r="J28" s="28">
        <f>IF(OR(H28="",C28=""),"",(H28-C28)*1000)</f>
        <v/>
      </c>
      <c r="K28" s="28">
        <f>IF(OR(C28="",D28=""),"",(C28-D28)*1000)</f>
        <v/>
      </c>
      <c r="L28" s="29">
        <f>IF(OR(E28="",C28=""),"",E28/C28)</f>
        <v/>
      </c>
    </row>
    <row r="30">
      <c r="A30" s="7" t="inlineStr">
        <is>
          <t>Обобщение по брой включени релета (средно от сериите)</t>
        </is>
      </c>
    </row>
    <row r="31" ht="45" customHeight="1">
      <c r="A31" s="13" t="inlineStr"/>
      <c r="B31" s="13" t="inlineStr">
        <is>
          <t>Вкл. релета</t>
        </is>
      </c>
      <c r="C31" s="13" t="inlineStr">
        <is>
          <t>U_VIN, V</t>
        </is>
      </c>
      <c r="D31" s="13" t="inlineStr">
        <is>
          <t>U_мод, V</t>
        </is>
      </c>
      <c r="E31" s="13" t="inlineStr"/>
      <c r="F31" s="13" t="inlineStr">
        <is>
          <t>VCC (уеб), V</t>
        </is>
      </c>
      <c r="G31" s="13" t="inlineStr"/>
      <c r="H31" s="13" t="inlineStr"/>
      <c r="I31" s="13" t="inlineStr">
        <is>
          <t>Грешка с корекция, mV</t>
        </is>
      </c>
      <c r="J31" s="13" t="inlineStr">
        <is>
          <t>Грешка без корекция, mV</t>
        </is>
      </c>
      <c r="K31" s="13" t="inlineStr">
        <is>
          <t>Спад VIN → модул, mV</t>
        </is>
      </c>
      <c r="L31" s="13" t="inlineStr"/>
    </row>
    <row r="32">
      <c r="B32" s="14" t="n">
        <v>0</v>
      </c>
      <c r="C32" s="21">
        <f>IFERROR(AVERAGEIFS(C$14:C$28,$B$14:$B$28,$B32),"")</f>
        <v/>
      </c>
      <c r="D32" s="21">
        <f>IFERROR(AVERAGEIFS(D$14:D$28,$B$14:$B$28,$B32),"")</f>
        <v/>
      </c>
      <c r="F32" s="21">
        <f>IFERROR(AVERAGEIFS(F$14:F$28,$B$14:$B$28,$B32),"")</f>
        <v/>
      </c>
      <c r="I32" s="28">
        <f>IFERROR(AVERAGEIFS(I$14:I$28,$B$14:$B$28,$B32),"")</f>
        <v/>
      </c>
      <c r="J32" s="28">
        <f>IFERROR(AVERAGEIFS(J$14:J$28,$B$14:$B$28,$B32),"")</f>
        <v/>
      </c>
      <c r="K32" s="28">
        <f>IFERROR(AVERAGEIFS(K$14:K$28,$B$14:$B$28,$B32),"")</f>
        <v/>
      </c>
    </row>
    <row r="33">
      <c r="B33" s="14" t="n">
        <v>1</v>
      </c>
      <c r="C33" s="21">
        <f>IFERROR(AVERAGEIFS(C$14:C$28,$B$14:$B$28,$B33),"")</f>
        <v/>
      </c>
      <c r="D33" s="21">
        <f>IFERROR(AVERAGEIFS(D$14:D$28,$B$14:$B$28,$B33),"")</f>
        <v/>
      </c>
      <c r="F33" s="21">
        <f>IFERROR(AVERAGEIFS(F$14:F$28,$B$14:$B$28,$B33),"")</f>
        <v/>
      </c>
      <c r="I33" s="28">
        <f>IFERROR(AVERAGEIFS(I$14:I$28,$B$14:$B$28,$B33),"")</f>
        <v/>
      </c>
      <c r="J33" s="28">
        <f>IFERROR(AVERAGEIFS(J$14:J$28,$B$14:$B$28,$B33),"")</f>
        <v/>
      </c>
      <c r="K33" s="28">
        <f>IFERROR(AVERAGEIFS(K$14:K$28,$B$14:$B$28,$B33),"")</f>
        <v/>
      </c>
    </row>
    <row r="34">
      <c r="B34" s="14" t="n">
        <v>2</v>
      </c>
      <c r="C34" s="21">
        <f>IFERROR(AVERAGEIFS(C$14:C$28,$B$14:$B$28,$B34),"")</f>
        <v/>
      </c>
      <c r="D34" s="21">
        <f>IFERROR(AVERAGEIFS(D$14:D$28,$B$14:$B$28,$B34),"")</f>
        <v/>
      </c>
      <c r="F34" s="21">
        <f>IFERROR(AVERAGEIFS(F$14:F$28,$B$14:$B$28,$B34),"")</f>
        <v/>
      </c>
      <c r="I34" s="28">
        <f>IFERROR(AVERAGEIFS(I$14:I$28,$B$14:$B$28,$B34),"")</f>
        <v/>
      </c>
      <c r="J34" s="28">
        <f>IFERROR(AVERAGEIFS(J$14:J$28,$B$14:$B$28,$B34),"")</f>
        <v/>
      </c>
      <c r="K34" s="28">
        <f>IFERROR(AVERAGEIFS(K$14:K$28,$B$14:$B$28,$B34),"")</f>
        <v/>
      </c>
    </row>
    <row r="35">
      <c r="B35" s="14" t="n">
        <v>3</v>
      </c>
      <c r="C35" s="21">
        <f>IFERROR(AVERAGEIFS(C$14:C$28,$B$14:$B$28,$B35),"")</f>
        <v/>
      </c>
      <c r="D35" s="21">
        <f>IFERROR(AVERAGEIFS(D$14:D$28,$B$14:$B$28,$B35),"")</f>
        <v/>
      </c>
      <c r="F35" s="21">
        <f>IFERROR(AVERAGEIFS(F$14:F$28,$B$14:$B$28,$B35),"")</f>
        <v/>
      </c>
      <c r="I35" s="28">
        <f>IFERROR(AVERAGEIFS(I$14:I$28,$B$14:$B$28,$B35),"")</f>
        <v/>
      </c>
      <c r="J35" s="28">
        <f>IFERROR(AVERAGEIFS(J$14:J$28,$B$14:$B$28,$B35),"")</f>
        <v/>
      </c>
      <c r="K35" s="28">
        <f>IFERROR(AVERAGEIFS(K$14:K$28,$B$14:$B$28,$B35),"")</f>
        <v/>
      </c>
    </row>
    <row r="36">
      <c r="B36" s="14" t="n">
        <v>4</v>
      </c>
      <c r="C36" s="21">
        <f>IFERROR(AVERAGEIFS(C$14:C$28,$B$14:$B$28,$B36),"")</f>
        <v/>
      </c>
      <c r="D36" s="21">
        <f>IFERROR(AVERAGEIFS(D$14:D$28,$B$14:$B$28,$B36),"")</f>
        <v/>
      </c>
      <c r="F36" s="21">
        <f>IFERROR(AVERAGEIFS(F$14:F$28,$B$14:$B$28,$B36),"")</f>
        <v/>
      </c>
      <c r="I36" s="28">
        <f>IFERROR(AVERAGEIFS(I$14:I$28,$B$14:$B$28,$B36),"")</f>
        <v/>
      </c>
      <c r="J36" s="28">
        <f>IFERROR(AVERAGEIFS(J$14:J$28,$B$14:$B$28,$B36),"")</f>
        <v/>
      </c>
      <c r="K36" s="28">
        <f>IFERROR(AVERAGEIFS(K$14:K$28,$B$14:$B$28,$B36),"")</f>
        <v/>
      </c>
    </row>
    <row r="37">
      <c r="H37" s="14" t="inlineStr">
        <is>
          <t>Макс. |грешка|, mV</t>
        </is>
      </c>
      <c r="I37" s="30">
        <f>IF(COUNT(I14:I28)=0,"",MAX(MAX(I14:I28),-MIN(I14:I28)))</f>
        <v/>
      </c>
      <c r="J37" s="30">
        <f>IF(COUNT(J14:J28)=0,"",MAX(MAX(J14:J28),-MIN(J14:J28)))</f>
        <v/>
      </c>
    </row>
  </sheetData>
  <mergeCells count="7">
    <mergeCell ref="A9:D9"/>
    <mergeCell ref="A8:D8"/>
    <mergeCell ref="G10:I10"/>
    <mergeCell ref="G8:I8"/>
    <mergeCell ref="A7:D7"/>
    <mergeCell ref="G9:I9"/>
    <mergeCell ref="G7:I7"/>
  </mergeCell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selection activeCell="A1" sqref="A1"/>
    </sheetView>
  </sheetViews>
  <sheetFormatPr baseColWidth="8" defaultRowHeight="15"/>
  <cols>
    <col width="62" customWidth="1" min="1" max="1"/>
    <col width="14" customWidth="1" min="2" max="2"/>
    <col width="30" customWidth="1" min="3" max="3"/>
  </cols>
  <sheetData>
    <row r="1">
      <c r="A1" s="1" t="inlineStr">
        <is>
          <t>Е4. Нива на изводите при рестарт и входът на релейния модул</t>
        </is>
      </c>
    </row>
    <row r="3">
      <c r="A3" s="2" t="inlineStr">
        <is>
          <t>Докато бутонът RST на подчинения модул е ЗАДЪРЖАН, изводите са входове — вижда се нивото, което се чете при стартиране.</t>
        </is>
      </c>
    </row>
    <row r="5">
      <c r="A5" s="15" t="inlineStr">
        <is>
          <t>Пример:</t>
        </is>
      </c>
      <c r="B5" s="24" t="n">
        <v>3.3</v>
      </c>
    </row>
    <row r="6" ht="45" customHeight="1">
      <c r="A6" s="13" t="inlineStr">
        <is>
          <t>Измерване</t>
        </is>
      </c>
      <c r="B6" s="13" t="inlineStr">
        <is>
          <t>Стойност</t>
        </is>
      </c>
      <c r="C6" s="13" t="inlineStr">
        <is>
          <t>Бележка</t>
        </is>
      </c>
    </row>
    <row r="7">
      <c r="A7" s="31" t="inlineStr">
        <is>
          <t>D3–GND при задържан RST, модулът на реле 4 свързан към D3 (ако още не е преместен), V</t>
        </is>
      </c>
      <c r="B7" s="20" t="n"/>
      <c r="C7" s="4" t="n"/>
    </row>
    <row r="8">
      <c r="A8" s="31" t="inlineStr">
        <is>
          <t>D3–GND при задържан RST, нищо не е свързано към D3, V</t>
        </is>
      </c>
      <c r="B8" s="20" t="n"/>
      <c r="C8" s="4" t="n"/>
    </row>
    <row r="9">
      <c r="A9" s="31" t="inlineStr">
        <is>
          <t>D8–GND при задържан RST, модулът на реле 4 свързан към D8, V</t>
        </is>
      </c>
      <c r="B9" s="20" t="n"/>
      <c r="C9" s="4" t="n"/>
    </row>
    <row r="10">
      <c r="A10" s="31" t="inlineStr">
        <is>
          <t>U(IN–GND) на релеен модул при ВКЛЮЧЕНО реле, V</t>
        </is>
      </c>
      <c r="B10" s="20" t="n"/>
      <c r="C10" s="4" t="n"/>
    </row>
    <row r="11">
      <c r="A11" s="31" t="inlineStr">
        <is>
          <t>U(IN–GND) на релеен модул при ИЗКЛЮЧЕНО реле, V</t>
        </is>
      </c>
      <c r="B11" s="20" t="n"/>
      <c r="C11" s="4" t="n"/>
    </row>
    <row r="12">
      <c r="A12" s="31" t="inlineStr">
        <is>
          <t>Ток в проводника към IN при включено реле, mA</t>
        </is>
      </c>
      <c r="B12" s="20" t="n"/>
      <c r="C12" s="4" t="n"/>
    </row>
    <row r="13">
      <c r="A13" s="31" t="inlineStr">
        <is>
          <t>Положение на джъмперите H/L на четирите модула (снимка)</t>
        </is>
      </c>
      <c r="B13" s="4" t="n"/>
      <c r="C13" s="4" t="n"/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</cols>
  <sheetData>
    <row r="1">
      <c r="A1" s="1" t="inlineStr">
        <is>
          <t>Е5. Консумация на релейните модули</t>
        </is>
      </c>
    </row>
    <row r="3">
      <c r="A3" s="2" t="inlineStr">
        <is>
          <t>Мултиметър в режим mA последователно в проводника +5 V към релейните модули (изключете захранването, преди да прекъснете веригата).</t>
        </is>
      </c>
    </row>
    <row r="5">
      <c r="A5" s="15" t="inlineStr">
        <is>
          <t>Пример:</t>
        </is>
      </c>
      <c r="B5" s="26" t="n">
        <v>10</v>
      </c>
      <c r="C5" s="26" t="n">
        <v>80</v>
      </c>
    </row>
    <row r="6" ht="45" customHeight="1">
      <c r="A6" s="13" t="inlineStr">
        <is>
          <t>Вкл. релета</t>
        </is>
      </c>
      <c r="B6" s="13" t="n">
        <v>0</v>
      </c>
      <c r="C6" s="13" t="n">
        <v>1</v>
      </c>
      <c r="D6" s="13" t="n">
        <v>2</v>
      </c>
      <c r="E6" s="13" t="n">
        <v>3</v>
      </c>
      <c r="F6" s="13" t="n">
        <v>4</v>
      </c>
    </row>
    <row r="7">
      <c r="A7" s="14" t="inlineStr">
        <is>
          <t>Ток, mA</t>
        </is>
      </c>
      <c r="B7" s="12" t="n"/>
      <c r="C7" s="12" t="n"/>
      <c r="D7" s="12" t="n"/>
      <c r="E7" s="12" t="n"/>
      <c r="F7" s="12" t="n"/>
    </row>
    <row r="8">
      <c r="A8" s="8" t="inlineStr">
        <is>
          <t>Прираст спрямо предходното, mA</t>
        </is>
      </c>
      <c r="B8" s="5" t="inlineStr">
        <is>
          <t>—</t>
        </is>
      </c>
      <c r="C8" s="32">
        <f>IF(OR(C7="",B7=""),"",C7-B7)</f>
        <v/>
      </c>
      <c r="D8" s="32">
        <f>IF(OR(D7="",C7=""),"",D7-C7)</f>
        <v/>
      </c>
      <c r="E8" s="32">
        <f>IF(OR(E7="",D7=""),"",E7-D7)</f>
        <v/>
      </c>
      <c r="F8" s="32">
        <f>IF(OR(F7="",E7=""),"",F7-E7)</f>
        <v/>
      </c>
    </row>
    <row r="10">
      <c r="A10" s="14" t="inlineStr">
        <is>
          <t>Среден ток на едно реле, mA</t>
        </is>
      </c>
      <c r="B10" s="33">
        <f>IF(OR(B7="",F7=""),"",(F7-B7)/4)</f>
        <v/>
      </c>
    </row>
    <row r="11">
      <c r="A11" s="8" t="inlineStr">
        <is>
          <t>Напрежение на модулите при 4 релета, V (от Е3)</t>
        </is>
      </c>
      <c r="B11" s="20" t="n"/>
    </row>
    <row r="12">
      <c r="A12" s="14" t="inlineStr">
        <is>
          <t>Мощност на релейните модули при 4 релета, W</t>
        </is>
      </c>
      <c r="B12" s="34">
        <f>IF(OR(B11="",F7=""),"",B11*F7/1000)</f>
        <v/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3" customWidth="1" min="4" max="4"/>
    <col width="15" customWidth="1" min="5" max="5"/>
    <col width="16" customWidth="1" min="6" max="6"/>
    <col width="18" customWidth="1" min="7" max="7"/>
    <col width="16" customWidth="1" min="8" max="8"/>
  </cols>
  <sheetData>
    <row r="1">
      <c r="A1" s="1" t="inlineStr">
        <is>
          <t>Е6. Бутони и програмният филтър срещу трептене</t>
        </is>
      </c>
    </row>
    <row r="3">
      <c r="A3" s="2" t="inlineStr">
        <is>
          <t>RESET STATS → натиснете бутона точно толкова пъти, колкото е в колоната „Натиснат“ → препишете от „Бутон D5: натиск. / фронтове / макс.“ (три числа).</t>
        </is>
      </c>
    </row>
    <row r="4">
      <c r="A4" s="2" t="inlineStr">
        <is>
          <t>D6 изключва всички релета — това е нормално. Прекъсването може да не хване импулси, по-кратки от няколко µs — броят фронтове е долна граница.</t>
        </is>
      </c>
    </row>
    <row r="6">
      <c r="A6" s="15" t="inlineStr">
        <is>
          <t>Пример:</t>
        </is>
      </c>
      <c r="B6" s="16" t="n">
        <v>50</v>
      </c>
      <c r="C6" s="16" t="n">
        <v>50</v>
      </c>
      <c r="D6" s="16" t="n">
        <v>120</v>
      </c>
      <c r="E6" s="16" t="n">
        <v>5</v>
      </c>
    </row>
    <row r="7" ht="45" customHeight="1">
      <c r="A7" s="13" t="inlineStr">
        <is>
          <t>Бутон</t>
        </is>
      </c>
      <c r="B7" s="13" t="inlineStr">
        <is>
          <t>Натиснат, пъти</t>
        </is>
      </c>
      <c r="C7" s="13" t="inlineStr">
        <is>
          <t>Приети натискания</t>
        </is>
      </c>
      <c r="D7" s="13" t="inlineStr">
        <is>
          <t>Фронтове общо</t>
        </is>
      </c>
      <c r="E7" s="13" t="inlineStr">
        <is>
          <t>Макс. фронтове за 1 превключване</t>
        </is>
      </c>
      <c r="F7" s="13" t="inlineStr">
        <is>
          <t>Приети − натиснати</t>
        </is>
      </c>
      <c r="G7" s="13" t="inlineStr">
        <is>
          <t>Фронтове над 2 на натискане (трептене)</t>
        </is>
      </c>
      <c r="H7" s="13" t="inlineStr">
        <is>
          <t>Средно фронтове на натискане</t>
        </is>
      </c>
    </row>
    <row r="8">
      <c r="A8" s="14" t="inlineStr">
        <is>
          <t>D5</t>
        </is>
      </c>
      <c r="B8" s="35" t="n">
        <v>50</v>
      </c>
      <c r="C8" s="35" t="n"/>
      <c r="D8" s="35" t="n"/>
      <c r="E8" s="35" t="n"/>
      <c r="F8" s="28">
        <f>IF(OR(B8="",C8=""),"",C8-B8)</f>
        <v/>
      </c>
      <c r="G8" s="28">
        <f>IF(OR(B8="",D8=""),"",D8-2*B8)</f>
        <v/>
      </c>
      <c r="H8" s="21">
        <f>IF(OR(B8="",B8=0,D8=""),"",D8/B8)</f>
        <v/>
      </c>
    </row>
    <row r="9">
      <c r="A9" s="14" t="inlineStr">
        <is>
          <t>D6</t>
        </is>
      </c>
      <c r="B9" s="35" t="n">
        <v>50</v>
      </c>
      <c r="C9" s="35" t="n"/>
      <c r="D9" s="35" t="n"/>
      <c r="E9" s="35" t="n"/>
      <c r="F9" s="28">
        <f>IF(OR(B9="",C9=""),"",C9-B9)</f>
        <v/>
      </c>
      <c r="G9" s="28">
        <f>IF(OR(B9="",D9=""),"",D9-2*B9)</f>
        <v/>
      </c>
      <c r="H9" s="21">
        <f>IF(OR(B9="",B9=0,D9=""),"",D9/B9)</f>
        <v/>
      </c>
    </row>
    <row r="10">
      <c r="A10" s="14" t="inlineStr">
        <is>
          <t>D5 — кратки почуквания</t>
        </is>
      </c>
      <c r="B10" s="35" t="n">
        <v>20</v>
      </c>
      <c r="C10" s="35" t="n"/>
      <c r="D10" s="35" t="n"/>
      <c r="E10" s="35" t="n"/>
      <c r="F10" s="28">
        <f>IF(OR(B10="",C10=""),"",C10-B10)</f>
        <v/>
      </c>
      <c r="G10" s="28">
        <f>IF(OR(B10="",D10=""),"",D10-2*B10)</f>
        <v/>
      </c>
      <c r="H10" s="21">
        <f>IF(OR(B10="",B10=0,D10=""),"",D10/B10)</f>
        <v/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6" customWidth="1" min="3" max="3"/>
    <col width="15" customWidth="1" min="4" max="4"/>
    <col width="16" customWidth="1" min="5" max="5"/>
    <col width="14" customWidth="1" min="6" max="6"/>
    <col width="20" customWidth="1" min="7" max="7"/>
    <col width="26" customWidth="1" min="8" max="8"/>
  </cols>
  <sheetData>
    <row r="1">
      <c r="A1" s="1" t="inlineStr">
        <is>
          <t>Е7. Защита от влага (HR202 + компаратор)</t>
        </is>
      </c>
    </row>
    <row r="3">
      <c r="A3" s="2" t="inlineStr">
        <is>
          <t>Ако DO при сухо е около 5 V, модулът трябва да се захранва от 3V3 (входовете на ESP8266 са за 3,3 V) — пишете ми преди да продължите.</t>
        </is>
      </c>
    </row>
    <row r="5">
      <c r="A5" s="8" t="inlineStr">
        <is>
          <t>Захранване на модула HR202, V (3,3 или 5?)</t>
        </is>
      </c>
      <c r="B5" s="9" t="n"/>
      <c r="C5" s="9" t="n"/>
      <c r="D5" s="10" t="n"/>
      <c r="E5" s="20" t="n"/>
    </row>
    <row r="6">
      <c r="A6" s="8" t="inlineStr">
        <is>
          <t>Изход DO–GND при СУХО, V</t>
        </is>
      </c>
      <c r="B6" s="9" t="n"/>
      <c r="C6" s="9" t="n"/>
      <c r="D6" s="10" t="n"/>
      <c r="E6" s="20" t="n"/>
    </row>
    <row r="7">
      <c r="A7" s="8" t="inlineStr">
        <is>
          <t>Изход DO–GND при МОКРО, V</t>
        </is>
      </c>
      <c r="B7" s="9" t="n"/>
      <c r="C7" s="9" t="n"/>
      <c r="D7" s="10" t="n"/>
      <c r="E7" s="20" t="n"/>
    </row>
    <row r="9">
      <c r="A9" s="2" t="inlineStr">
        <is>
          <t>5 опита: включете всички релета → намокрете датчика → проверете → подсушете. Попълнете с Да / Не (падащ списък).</t>
        </is>
      </c>
    </row>
    <row r="10">
      <c r="A10" s="15" t="inlineStr">
        <is>
          <t>Пример:</t>
        </is>
      </c>
      <c r="B10" s="16" t="inlineStr">
        <is>
          <t>Да</t>
        </is>
      </c>
      <c r="C10" s="16" t="inlineStr">
        <is>
          <t>Да</t>
        </is>
      </c>
      <c r="D10" s="16" t="inlineStr">
        <is>
          <t>Да</t>
        </is>
      </c>
      <c r="E10" s="16" t="inlineStr">
        <is>
          <t>Да</t>
        </is>
      </c>
      <c r="F10" s="16" t="inlineStr">
        <is>
          <t>Да</t>
        </is>
      </c>
      <c r="G10" s="16" t="inlineStr">
        <is>
          <t>Да</t>
        </is>
      </c>
      <c r="H10" s="16" t="inlineStr"/>
    </row>
    <row r="11" ht="45" customHeight="1">
      <c r="A11" s="13" t="inlineStr">
        <is>
          <t>Опит</t>
        </is>
      </c>
      <c r="B11" s="13" t="inlineStr">
        <is>
          <t>Всички релета изключени?</t>
        </is>
      </c>
      <c r="C11" s="13" t="inlineStr">
        <is>
          <t>Уеб: „МОКРО (БЛОКИРАНО)“?</t>
        </is>
      </c>
      <c r="D11" s="13" t="inlineStr">
        <is>
          <t>Отказ от уеб?</t>
        </is>
      </c>
      <c r="E11" s="13" t="inlineStr">
        <is>
          <t>Отказ по UART (R1 ON на главния)?</t>
        </is>
      </c>
      <c r="F11" s="13" t="inlineStr">
        <is>
          <t>Отказ от бутон D5?</t>
        </is>
      </c>
      <c r="G11" s="13" t="inlineStr">
        <is>
          <t>След изсъхване: „СУХО (ИЗЧАКВАНЕ)“ → „СУХО“?</t>
        </is>
      </c>
      <c r="H11" s="13" t="inlineStr">
        <is>
          <t>Бележка</t>
        </is>
      </c>
    </row>
    <row r="12">
      <c r="A12" s="14" t="n">
        <v>1</v>
      </c>
      <c r="B12" s="4" t="n"/>
      <c r="C12" s="4" t="n"/>
      <c r="D12" s="4" t="n"/>
      <c r="E12" s="4" t="n"/>
      <c r="F12" s="4" t="n"/>
      <c r="G12" s="4" t="n"/>
      <c r="H12" s="4" t="n"/>
    </row>
    <row r="13">
      <c r="A13" s="14" t="n">
        <v>2</v>
      </c>
      <c r="B13" s="4" t="n"/>
      <c r="C13" s="4" t="n"/>
      <c r="D13" s="4" t="n"/>
      <c r="E13" s="4" t="n"/>
      <c r="F13" s="4" t="n"/>
      <c r="G13" s="4" t="n"/>
      <c r="H13" s="4" t="n"/>
    </row>
    <row r="14">
      <c r="A14" s="14" t="n">
        <v>3</v>
      </c>
      <c r="B14" s="4" t="n"/>
      <c r="C14" s="4" t="n"/>
      <c r="D14" s="4" t="n"/>
      <c r="E14" s="4" t="n"/>
      <c r="F14" s="4" t="n"/>
      <c r="G14" s="4" t="n"/>
      <c r="H14" s="4" t="n"/>
    </row>
    <row r="15">
      <c r="A15" s="14" t="n">
        <v>4</v>
      </c>
      <c r="B15" s="4" t="n"/>
      <c r="C15" s="4" t="n"/>
      <c r="D15" s="4" t="n"/>
      <c r="E15" s="4" t="n"/>
      <c r="F15" s="4" t="n"/>
      <c r="G15" s="4" t="n"/>
      <c r="H15" s="4" t="n"/>
    </row>
    <row r="16">
      <c r="A16" s="14" t="n">
        <v>5</v>
      </c>
      <c r="B16" s="4" t="n"/>
      <c r="C16" s="4" t="n"/>
      <c r="D16" s="4" t="n"/>
      <c r="E16" s="4" t="n"/>
      <c r="F16" s="4" t="n"/>
      <c r="G16" s="4" t="n"/>
      <c r="H16" s="4" t="n"/>
    </row>
    <row r="17">
      <c r="A17" s="14" t="inlineStr">
        <is>
          <t>Брой „Да“</t>
        </is>
      </c>
      <c r="B17" s="36">
        <f>COUNTIF(B12:B16,"Да")&amp;" от "&amp;COUNTA(B12:B16)</f>
        <v/>
      </c>
      <c r="C17" s="36">
        <f>COUNTIF(C12:C16,"Да")&amp;" от "&amp;COUNTA(C12:C16)</f>
        <v/>
      </c>
      <c r="D17" s="36">
        <f>COUNTIF(D12:D16,"Да")&amp;" от "&amp;COUNTA(D12:D16)</f>
        <v/>
      </c>
      <c r="E17" s="36">
        <f>COUNTIF(E12:E16,"Да")&amp;" от "&amp;COUNTA(E12:E16)</f>
        <v/>
      </c>
      <c r="F17" s="36">
        <f>COUNTIF(F12:F16,"Да")&amp;" от "&amp;COUNTA(F12:F16)</f>
        <v/>
      </c>
      <c r="G17" s="36">
        <f>COUNTIF(G12:G16,"Да")&amp;" от "&amp;COUNTA(G12:G16)</f>
        <v/>
      </c>
    </row>
    <row r="19">
      <c r="A19" s="8" t="inlineStr">
        <is>
          <t>След опитите — „Защита: задействания / откази“ от уеб страницата:</t>
        </is>
      </c>
      <c r="B19" s="9" t="n"/>
      <c r="C19" s="9" t="n"/>
      <c r="D19" s="10" t="n"/>
      <c r="E19" s="35" t="n"/>
      <c r="F19" s="35" t="n"/>
    </row>
  </sheetData>
  <mergeCells count="4">
    <mergeCell ref="A5:D5"/>
    <mergeCell ref="A7:D7"/>
    <mergeCell ref="A19:D19"/>
    <mergeCell ref="A6:D6"/>
  </mergeCells>
  <dataValidations count="1">
    <dataValidation sqref="B12:G16" showDropDown="0" showInputMessage="0" showErrorMessage="0" allowBlank="1" errorTitle="Невалидна стойност" error="Изберете Да или Не" type="list">
      <formula1>"Да,Не"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O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11" customWidth="1" min="3" max="3"/>
    <col width="11" customWidth="1" min="4" max="4"/>
    <col width="11" customWidth="1" min="5" max="5"/>
    <col width="12" customWidth="1" min="6" max="6"/>
    <col width="12" customWidth="1" min="7" max="7"/>
    <col width="12" customWidth="1" min="8" max="8"/>
    <col width="13" customWidth="1" min="9" max="9"/>
    <col width="13" customWidth="1" min="10" max="10"/>
    <col width="13" customWidth="1" min="11" max="11"/>
    <col width="12" customWidth="1" min="12" max="12"/>
    <col width="12" customWidth="1" min="13" max="13"/>
    <col width="13" customWidth="1" min="14" max="14"/>
    <col width="30" customWidth="1" min="15" max="15"/>
  </cols>
  <sheetData>
    <row r="1">
      <c r="A1" s="1" t="inlineStr">
        <is>
          <t>Е8. Закъснение (PING) и потвърждение на ESP-NOW</t>
        </is>
      </c>
    </row>
    <row r="3">
      <c r="A3" s="2" t="inlineStr">
        <is>
          <t>Модулите са на 1–2 m. На главния (Serial Monitor или PuTTY): RESET STATS → PING 100 → изчакайте ~30 s до „📶 Край на теста“.</t>
        </is>
      </c>
    </row>
    <row r="4">
      <c r="A4" s="2" t="inlineStr">
        <is>
          <t>От последните два реда: „Край на теста: изпратени A, успешни B, загубени C“ и „RTT мин / ср / макс: X / Y / Z µs“ → колони C–H.</t>
        </is>
      </c>
    </row>
    <row r="5">
      <c r="A5" s="2" t="inlineStr">
        <is>
          <t>След това въведете 7 и препишете реда „ESP-NOW потвърждение: N бр., мин./ср./макс. P / Q / R µs, неуспешни F“ → колони I–L.</t>
        </is>
      </c>
    </row>
    <row r="6">
      <c r="A6" s="2" t="inlineStr">
        <is>
          <t>Уеб страницата показва същото в ms (напр. 6.58 ms = 6580 µs) — тук пишете в µs.</t>
        </is>
      </c>
    </row>
    <row r="8">
      <c r="A8" s="15" t="inlineStr">
        <is>
          <t>Пример:</t>
        </is>
      </c>
      <c r="B8" s="16" t="inlineStr">
        <is>
          <t>1–2 m</t>
        </is>
      </c>
      <c r="C8" s="16" t="n">
        <v>100</v>
      </c>
      <c r="D8" s="16" t="n">
        <v>100</v>
      </c>
      <c r="E8" s="16" t="n">
        <v>0</v>
      </c>
      <c r="F8" s="16" t="n">
        <v>5000</v>
      </c>
      <c r="G8" s="16" t="n">
        <v>7000</v>
      </c>
      <c r="H8" s="16" t="n">
        <v>30000</v>
      </c>
      <c r="I8" s="16" t="n">
        <v>1500</v>
      </c>
      <c r="J8" s="16" t="n">
        <v>2000</v>
      </c>
      <c r="K8" s="16" t="n">
        <v>3500</v>
      </c>
      <c r="L8" s="16" t="n">
        <v>0</v>
      </c>
      <c r="M8" s="16" t="inlineStr"/>
      <c r="N8" s="16" t="inlineStr"/>
      <c r="O8" s="16" t="inlineStr">
        <is>
          <t>ping_1.log</t>
        </is>
      </c>
    </row>
    <row r="9" ht="45" customHeight="1">
      <c r="A9" s="13" t="inlineStr">
        <is>
          <t>Серия</t>
        </is>
      </c>
      <c r="B9" s="13" t="inlineStr">
        <is>
          <t>Условия</t>
        </is>
      </c>
      <c r="C9" s="13" t="inlineStr">
        <is>
          <t>Изпратени</t>
        </is>
      </c>
      <c r="D9" s="13" t="inlineStr">
        <is>
          <t>Успешни</t>
        </is>
      </c>
      <c r="E9" s="13" t="inlineStr">
        <is>
          <t>Загубени</t>
        </is>
      </c>
      <c r="F9" s="13" t="inlineStr">
        <is>
          <t>RTT мин., µs</t>
        </is>
      </c>
      <c r="G9" s="13" t="inlineStr">
        <is>
          <t>RTT ср., µs</t>
        </is>
      </c>
      <c r="H9" s="13" t="inlineStr">
        <is>
          <t>RTT макс., µs</t>
        </is>
      </c>
      <c r="I9" s="13" t="inlineStr">
        <is>
          <t>ESP-NOW потв. мин., µs</t>
        </is>
      </c>
      <c r="J9" s="13" t="inlineStr">
        <is>
          <t>ESP-NOW потв. ср., µs</t>
        </is>
      </c>
      <c r="K9" s="13" t="inlineStr">
        <is>
          <t>ESP-NOW потв. макс., µs</t>
        </is>
      </c>
      <c r="L9" s="13" t="inlineStr">
        <is>
          <t>Неуспешни (MAC)</t>
        </is>
      </c>
      <c r="M9" s="13" t="inlineStr">
        <is>
          <t>Доставени, %</t>
        </is>
      </c>
      <c r="N9" s="13" t="inlineStr">
        <is>
          <t>RTT ср., ms</t>
        </is>
      </c>
      <c r="O9" s="13" t="inlineStr">
        <is>
          <t>Файл със записа</t>
        </is>
      </c>
    </row>
    <row r="10">
      <c r="A10" s="14" t="n">
        <v>1</v>
      </c>
      <c r="B10" s="8" t="inlineStr">
        <is>
          <t>1–2 m</t>
        </is>
      </c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22">
        <f>IF(OR(D10="",E10=""),"",IF(D10+E10=0,"",D10/(D10+E10)))</f>
        <v/>
      </c>
      <c r="N10" s="21">
        <f>IF(G10="","",G10/1000)</f>
        <v/>
      </c>
      <c r="O10" s="4" t="n"/>
    </row>
    <row r="11">
      <c r="A11" s="14" t="n">
        <v>2</v>
      </c>
      <c r="B11" s="8" t="inlineStr">
        <is>
          <t>1–2 m</t>
        </is>
      </c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22">
        <f>IF(OR(D11="",E11=""),"",IF(D11+E11=0,"",D11/(D11+E11)))</f>
        <v/>
      </c>
      <c r="N11" s="21">
        <f>IF(G11="","",G11/1000)</f>
        <v/>
      </c>
      <c r="O11" s="4" t="n"/>
    </row>
    <row r="12">
      <c r="A12" s="14" t="n">
        <v>3</v>
      </c>
      <c r="B12" s="8" t="inlineStr">
        <is>
          <t>1–2 m</t>
        </is>
      </c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22">
        <f>IF(OR(D12="",E12=""),"",IF(D12+E12=0,"",D12/(D12+E12)))</f>
        <v/>
      </c>
      <c r="N12" s="21">
        <f>IF(G12="","",G12/1000)</f>
        <v/>
      </c>
      <c r="O12" s="4" t="n"/>
    </row>
    <row r="13">
      <c r="A13" s="14" t="n">
        <v>4</v>
      </c>
      <c r="B13" s="8" t="inlineStr">
        <is>
          <t>1–2 m, 3 уеб клиента</t>
        </is>
      </c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22">
        <f>IF(OR(D13="",E13=""),"",IF(D13+E13=0,"",D13/(D13+E13)))</f>
        <v/>
      </c>
      <c r="N13" s="21">
        <f>IF(G13="","",G13/1000)</f>
        <v/>
      </c>
      <c r="O13" s="4" t="n"/>
    </row>
    <row r="15">
      <c r="B15" s="14" t="inlineStr">
        <is>
          <t>Серии 1–3 общо</t>
        </is>
      </c>
      <c r="D15" s="30">
        <f>IF(COUNT(D10:D12)=0,"",SUM(D10:D12))</f>
        <v/>
      </c>
      <c r="E15" s="30">
        <f>IF(COUNT(E10:E12)=0,"",SUM(E10:E12))</f>
        <v/>
      </c>
      <c r="F15" s="30">
        <f>IF(COUNT(F10:F12)=0,"",MIN(F10:F12))</f>
        <v/>
      </c>
      <c r="G15" s="30">
        <f>IF(COUNT(G10:G12)=0,"",AVERAGE(G10:G12))</f>
        <v/>
      </c>
      <c r="H15" s="30">
        <f>IF(COUNT(H10:H12)=0,"",MAX(H10:H12))</f>
        <v/>
      </c>
      <c r="M15" s="37">
        <f>IF(OR(D15="",E15=""),"",IF(D15+E15=0,"",D15/(D15+E15)))</f>
        <v/>
      </c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L1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1" customWidth="1" min="3" max="3"/>
    <col width="11" customWidth="1" min="4" max="4"/>
    <col width="13" customWidth="1" min="5" max="5"/>
    <col width="13" customWidth="1" min="6" max="6"/>
    <col width="12" customWidth="1" min="7" max="7"/>
    <col width="12" customWidth="1" min="8" max="8"/>
    <col width="13" customWidth="1" min="9" max="9"/>
    <col width="14" customWidth="1" min="10" max="10"/>
    <col width="14" customWidth="1" min="11" max="11"/>
    <col width="30" customWidth="1" min="12" max="12"/>
  </cols>
  <sheetData>
    <row r="1">
      <c r="A1" s="1" t="inlineStr">
        <is>
          <t>Е9. Надеждност на връзката (поне 1 час)</t>
        </is>
      </c>
    </row>
    <row r="3">
      <c r="A3" s="2" t="inlineStr">
        <is>
          <t>RESET STATS → LOG ON със запис във файл → оставете без намеса. В края препишете от уеб картата „⏱️ Измервания“ и „📊 Диагностика“ (или от командата 7).</t>
        </is>
      </c>
    </row>
    <row r="4">
      <c r="A4" s="2" t="inlineStr">
        <is>
          <t>„Приети / загубени / доставени“ → колони C–D; „Качество на връзката“ и „Загубени пакети“ се отнасят за MAC ниво → колони E–F (успешни = пакети, потвърдени от главния).</t>
        </is>
      </c>
    </row>
    <row r="6">
      <c r="A6" s="15" t="inlineStr">
        <is>
          <t>Пример:</t>
        </is>
      </c>
      <c r="B6" s="16" t="inlineStr">
        <is>
          <t>25.09.2026 22:00</t>
        </is>
      </c>
      <c r="C6" s="16" t="inlineStr">
        <is>
          <t>26.09.2026 07:30</t>
        </is>
      </c>
      <c r="D6" s="16" t="n">
        <v>17000</v>
      </c>
      <c r="E6" s="16" t="n">
        <v>0</v>
      </c>
      <c r="F6" s="16" t="n">
        <v>17000</v>
      </c>
      <c r="G6" s="16" t="n">
        <v>0</v>
      </c>
      <c r="H6" s="16" t="n">
        <v>0</v>
      </c>
    </row>
    <row r="7" ht="45" customHeight="1">
      <c r="A7" s="13" t="inlineStr">
        <is>
          <t>Начало (дата и час)</t>
        </is>
      </c>
      <c r="B7" s="13" t="inlineStr">
        <is>
          <t>Край (дата и час)</t>
        </is>
      </c>
      <c r="C7" s="13" t="inlineStr">
        <is>
          <t>Приети</t>
        </is>
      </c>
      <c r="D7" s="13" t="inlineStr">
        <is>
          <t>Загубени</t>
        </is>
      </c>
      <c r="E7" s="13" t="inlineStr">
        <is>
          <t>Успешни (MAC)</t>
        </is>
      </c>
      <c r="F7" s="13" t="inlineStr">
        <is>
          <t>Неуспешни (MAC)</t>
        </is>
      </c>
      <c r="G7" s="13" t="inlineStr">
        <is>
          <t>Рестарти на подч. модул</t>
        </is>
      </c>
      <c r="H7" s="13" t="inlineStr">
        <is>
          <t>Продълж., h</t>
        </is>
      </c>
      <c r="I7" s="13" t="inlineStr">
        <is>
          <t>Доставени, %</t>
        </is>
      </c>
      <c r="J7" s="13" t="inlineStr">
        <is>
          <t>Успешни (MAC), %</t>
        </is>
      </c>
      <c r="K7" s="13" t="inlineStr">
        <is>
          <t>Очаквани пакети (по 1 на 2 s)</t>
        </is>
      </c>
      <c r="L7" s="13" t="inlineStr">
        <is>
          <t>Файл със записа</t>
        </is>
      </c>
    </row>
    <row r="8">
      <c r="A8" s="38" t="n"/>
      <c r="B8" s="38" t="n"/>
      <c r="C8" s="35" t="n"/>
      <c r="D8" s="35" t="n"/>
      <c r="E8" s="35" t="n"/>
      <c r="F8" s="35" t="n"/>
      <c r="G8" s="35" t="n"/>
      <c r="H8" s="21">
        <f>IF(OR(A8="",B8=""),"",(B8-A8)*24)</f>
        <v/>
      </c>
      <c r="I8" s="39">
        <f>IF(OR(C8="",D8=""),"",IF(C8+D8=0,"",C8/(C8+D8)))</f>
        <v/>
      </c>
      <c r="J8" s="39">
        <f>IF(OR(E8="",F8=""),"",IF(E8+F8=0,"",E8/(E8+F8)))</f>
        <v/>
      </c>
      <c r="K8" s="28">
        <f>IF(H8="","",H8*1800)</f>
        <v/>
      </c>
      <c r="L8" s="4" t="n"/>
    </row>
    <row r="9">
      <c r="A9" s="38" t="n"/>
      <c r="B9" s="38" t="n"/>
      <c r="C9" s="35" t="n"/>
      <c r="D9" s="35" t="n"/>
      <c r="E9" s="35" t="n"/>
      <c r="F9" s="35" t="n"/>
      <c r="G9" s="35" t="n"/>
      <c r="H9" s="21">
        <f>IF(OR(A9="",B9=""),"",(B9-A9)*24)</f>
        <v/>
      </c>
      <c r="I9" s="39">
        <f>IF(OR(C9="",D9=""),"",IF(C9+D9=0,"",C9/(C9+D9)))</f>
        <v/>
      </c>
      <c r="J9" s="39">
        <f>IF(OR(E9="",F9=""),"",IF(E9+F9=0,"",E9/(E9+F9)))</f>
        <v/>
      </c>
      <c r="K9" s="28">
        <f>IF(H9="","",H9*1800)</f>
        <v/>
      </c>
      <c r="L9" s="4" t="n"/>
    </row>
    <row r="10">
      <c r="A10" s="38" t="n"/>
      <c r="B10" s="38" t="n"/>
      <c r="C10" s="35" t="n"/>
      <c r="D10" s="35" t="n"/>
      <c r="E10" s="35" t="n"/>
      <c r="F10" s="35" t="n"/>
      <c r="G10" s="35" t="n"/>
      <c r="H10" s="21">
        <f>IF(OR(A10="",B10=""),"",(B10-A10)*24)</f>
        <v/>
      </c>
      <c r="I10" s="39">
        <f>IF(OR(C10="",D10=""),"",IF(C10+D10=0,"",C10/(C10+D10)))</f>
        <v/>
      </c>
      <c r="J10" s="39">
        <f>IF(OR(E10="",F10=""),"",IF(E10+F10=0,"",E10/(E10+F10)))</f>
        <v/>
      </c>
      <c r="K10" s="28">
        <f>IF(H10="","",H10*1800)</f>
        <v/>
      </c>
      <c r="L10" s="4" t="n"/>
    </row>
  </sheetData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1" customWidth="1" min="4" max="4"/>
    <col width="11" customWidth="1" min="5" max="5"/>
    <col width="13" customWidth="1" min="6" max="6"/>
    <col width="13" customWidth="1" min="7" max="7"/>
    <col width="13" customWidth="1" min="8" max="8"/>
  </cols>
  <sheetData>
    <row r="1">
      <c r="A1" s="1" t="inlineStr">
        <is>
          <t>Е10. Обхват (по желание)</t>
        </is>
      </c>
    </row>
    <row r="3">
      <c r="A3" s="2" t="inlineStr">
        <is>
          <t>Подчиненият модул — от power bank. На всяко място: RESET STATS → PING 100 → препишете последните два реда.</t>
        </is>
      </c>
    </row>
    <row r="4">
      <c r="A4" s="2" t="inlineStr">
        <is>
          <t>Ако опитът не се направи, в дипломната работа ще пише, че обхватът не е изследван експериментално (само теоретична оценка).</t>
        </is>
      </c>
    </row>
    <row r="6">
      <c r="A6" s="15" t="inlineStr">
        <is>
          <t>Пример:</t>
        </is>
      </c>
      <c r="B6" s="26" t="n">
        <v>10</v>
      </c>
      <c r="C6" s="16" t="n">
        <v>1</v>
      </c>
      <c r="D6" s="16" t="n">
        <v>95</v>
      </c>
      <c r="E6" s="16" t="n">
        <v>5</v>
      </c>
      <c r="F6" s="16" t="n">
        <v>8000</v>
      </c>
      <c r="G6" s="16" t="n">
        <v>40000</v>
      </c>
    </row>
    <row r="7" ht="45" customHeight="1">
      <c r="A7" s="13" t="inlineStr">
        <is>
          <t>Място (описание)</t>
        </is>
      </c>
      <c r="B7" s="13" t="inlineStr">
        <is>
          <t>Разстояние, m</t>
        </is>
      </c>
      <c r="C7" s="13" t="inlineStr">
        <is>
          <t>Стени</t>
        </is>
      </c>
      <c r="D7" s="13" t="inlineStr">
        <is>
          <t>Успешни</t>
        </is>
      </c>
      <c r="E7" s="13" t="inlineStr">
        <is>
          <t>Загубени</t>
        </is>
      </c>
      <c r="F7" s="13" t="inlineStr">
        <is>
          <t>RTT ср., µs</t>
        </is>
      </c>
      <c r="G7" s="13" t="inlineStr">
        <is>
          <t>RTT макс., µs</t>
        </is>
      </c>
      <c r="H7" s="13" t="inlineStr">
        <is>
          <t>Доставени, %</t>
        </is>
      </c>
    </row>
    <row r="8">
      <c r="A8" s="4" t="n"/>
      <c r="B8" s="12" t="n">
        <v>1</v>
      </c>
      <c r="C8" s="35" t="n">
        <v>0</v>
      </c>
      <c r="D8" s="35" t="n"/>
      <c r="E8" s="35" t="n"/>
      <c r="F8" s="35" t="n"/>
      <c r="G8" s="35" t="n"/>
      <c r="H8" s="22">
        <f>IF(OR(D8="",E8=""),"",IF(D8+E8=0,"",D8/(D8+E8)))</f>
        <v/>
      </c>
    </row>
    <row r="9">
      <c r="A9" s="4" t="n"/>
      <c r="B9" s="12" t="n">
        <v>5</v>
      </c>
      <c r="C9" s="35" t="n">
        <v>0</v>
      </c>
      <c r="D9" s="35" t="n"/>
      <c r="E9" s="35" t="n"/>
      <c r="F9" s="35" t="n"/>
      <c r="G9" s="35" t="n"/>
      <c r="H9" s="22">
        <f>IF(OR(D9="",E9=""),"",IF(D9+E9=0,"",D9/(D9+E9)))</f>
        <v/>
      </c>
    </row>
    <row r="10">
      <c r="A10" s="4" t="n"/>
      <c r="B10" s="12" t="n">
        <v>10</v>
      </c>
      <c r="C10" s="35" t="n">
        <v>0</v>
      </c>
      <c r="D10" s="35" t="n"/>
      <c r="E10" s="35" t="n"/>
      <c r="F10" s="35" t="n"/>
      <c r="G10" s="35" t="n"/>
      <c r="H10" s="22">
        <f>IF(OR(D10="",E10=""),"",IF(D10+E10=0,"",D10/(D10+E10)))</f>
        <v/>
      </c>
    </row>
    <row r="11">
      <c r="A11" s="4" t="n"/>
      <c r="B11" s="12" t="n"/>
      <c r="C11" s="35" t="n">
        <v>1</v>
      </c>
      <c r="D11" s="35" t="n"/>
      <c r="E11" s="35" t="n"/>
      <c r="F11" s="35" t="n"/>
      <c r="G11" s="35" t="n"/>
      <c r="H11" s="22">
        <f>IF(OR(D11="",E11=""),"",IF(D11+E11=0,"",D11/(D11+E11)))</f>
        <v/>
      </c>
    </row>
    <row r="12">
      <c r="A12" s="4" t="n"/>
      <c r="B12" s="12" t="n"/>
      <c r="C12" s="35" t="n">
        <v>2</v>
      </c>
      <c r="D12" s="35" t="n"/>
      <c r="E12" s="35" t="n"/>
      <c r="F12" s="35" t="n"/>
      <c r="G12" s="35" t="n"/>
      <c r="H12" s="22">
        <f>IF(OR(D12="",E12=""),"",IF(D12+E12=0,"",D12/(D12+E12)))</f>
        <v/>
      </c>
    </row>
    <row r="13">
      <c r="A13" s="4" t="n"/>
      <c r="B13" s="12" t="n"/>
      <c r="C13" s="35" t="n"/>
      <c r="D13" s="35" t="n"/>
      <c r="E13" s="35" t="n"/>
      <c r="F13" s="35" t="n"/>
      <c r="G13" s="35" t="n"/>
      <c r="H13" s="22">
        <f>IF(OR(D13="",E13=""),"",IF(D13+E13=0,"",D13/(D13+E13)))</f>
        <v/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C14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1" t="inlineStr">
        <is>
          <t>Е11. Дълготраен тест (24 h, по желание)</t>
        </is>
      </c>
    </row>
    <row r="3">
      <c r="A3" s="2" t="inlineStr">
        <is>
          <t>RESET STATS → LOG ON със запис → 24 h без намеса → команда 7 на главния + снимка на уеб страницата.</t>
        </is>
      </c>
    </row>
    <row r="5">
      <c r="A5" s="15" t="inlineStr">
        <is>
          <t>Пример:</t>
        </is>
      </c>
      <c r="B5" s="16" t="n">
        <v>86400</v>
      </c>
      <c r="C5" s="16" t="n">
        <v>86400</v>
      </c>
    </row>
    <row r="6" ht="45" customHeight="1">
      <c r="A6" s="13" t="inlineStr">
        <is>
          <t>Показател</t>
        </is>
      </c>
      <c r="B6" s="13" t="inlineStr">
        <is>
          <t>Главен</t>
        </is>
      </c>
      <c r="C6" s="13" t="inlineStr">
        <is>
          <t>Подчинен</t>
        </is>
      </c>
    </row>
    <row r="7">
      <c r="A7" s="40" t="inlineStr">
        <is>
          <t>Време на работа, s</t>
        </is>
      </c>
      <c r="B7" s="4" t="n"/>
      <c r="C7" s="4" t="n"/>
    </row>
    <row r="8">
      <c r="A8" s="40" t="inlineStr">
        <is>
          <t>Мин. свободна памет, B</t>
        </is>
      </c>
      <c r="B8" s="4" t="n"/>
      <c r="C8" s="4" t="n"/>
    </row>
    <row r="9">
      <c r="A9" s="40" t="inlineStr">
        <is>
          <t>Фрагментация, %</t>
        </is>
      </c>
      <c r="B9" s="4" t="n"/>
      <c r="C9" s="4" t="n"/>
    </row>
    <row r="10">
      <c r="A10" s="40" t="inlineStr">
        <is>
          <t>Макс. време за цикъл от старта, µs</t>
        </is>
      </c>
      <c r="B10" s="4" t="n"/>
      <c r="C10" s="4" t="n"/>
    </row>
    <row r="11">
      <c r="A11" s="40" t="inlineStr">
        <is>
          <t>Причина за рестарт</t>
        </is>
      </c>
      <c r="B11" s="4" t="n"/>
      <c r="C11" s="4" t="n"/>
    </row>
    <row r="12">
      <c r="A12" s="40" t="inlineStr">
        <is>
          <t>Грешки от DHT11</t>
        </is>
      </c>
      <c r="B12" s="8" t="inlineStr">
        <is>
          <t>—</t>
        </is>
      </c>
      <c r="C12" s="4" t="n"/>
    </row>
    <row r="13">
      <c r="A13" s="40" t="inlineStr">
        <is>
          <t>Загубени пакети</t>
        </is>
      </c>
      <c r="B13" s="4" t="n"/>
      <c r="C13" s="4" t="n"/>
    </row>
    <row r="14">
      <c r="A14" s="40" t="inlineStr">
        <is>
          <t>Доставени, %</t>
        </is>
      </c>
      <c r="B14" s="4" t="n"/>
      <c r="C14" s="4" t="n"/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2" customWidth="1" min="3" max="3"/>
    <col width="30" customWidth="1" min="4" max="4"/>
  </cols>
  <sheetData>
    <row r="1">
      <c r="A1" s="1" t="inlineStr">
        <is>
          <t>Е12. Поведение при подаване на захранване</t>
        </is>
      </c>
    </row>
    <row r="3">
      <c r="A3" s="2" t="inlineStr">
        <is>
          <t>10 пъти изключете и включете USB на подчинения модул; бройте.</t>
        </is>
      </c>
    </row>
    <row r="5">
      <c r="A5" s="15" t="inlineStr">
        <is>
          <t>Пример:</t>
        </is>
      </c>
      <c r="B5" s="16" t="n">
        <v>10</v>
      </c>
    </row>
    <row r="6" ht="45" customHeight="1">
      <c r="A6" s="13" t="inlineStr">
        <is>
          <t>Наблюдение</t>
        </is>
      </c>
      <c r="B6" s="13" t="inlineStr">
        <is>
          <t>Брой от 10</t>
        </is>
      </c>
      <c r="C6" s="13" t="inlineStr">
        <is>
          <t>%</t>
        </is>
      </c>
      <c r="D6" s="13" t="inlineStr">
        <is>
          <t>Бележка</t>
        </is>
      </c>
    </row>
    <row r="7">
      <c r="A7" s="40" t="inlineStr">
        <is>
          <t>Платката стартира нормално</t>
        </is>
      </c>
      <c r="B7" s="35" t="n"/>
      <c r="C7" s="41">
        <f>IF(B7="","",B7/10)</f>
        <v/>
      </c>
      <c r="D7" s="4" t="n"/>
    </row>
    <row r="8">
      <c r="A8" s="40" t="inlineStr">
        <is>
          <t>Реле 1 (D0) щраква кратко при включване</t>
        </is>
      </c>
      <c r="B8" s="35" t="n"/>
      <c r="C8" s="41">
        <f>IF(B8="","",B8/10)</f>
        <v/>
      </c>
      <c r="D8" s="4" t="n"/>
    </row>
    <row r="9">
      <c r="A9" s="40" t="inlineStr">
        <is>
          <t>Реле 4 (D8) щраква при включване</t>
        </is>
      </c>
      <c r="B9" s="35" t="n"/>
      <c r="C9" s="41">
        <f>IF(B9="","",B9/10)</f>
        <v/>
      </c>
      <c r="D9" s="4" t="n"/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C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8" customWidth="1" min="3" max="3"/>
  </cols>
  <sheetData>
    <row r="1">
      <c r="A1" s="1" t="inlineStr">
        <is>
          <t>Е13. Време за отговор на уеб сървъра (по желание)</t>
        </is>
      </c>
    </row>
    <row r="3">
      <c r="A3" s="2" t="inlineStr">
        <is>
          <t>Chrome на компютъра: F12 → Network → заявка data → Timing → „Waiting for server response“, ms. 20 поредни заявки.</t>
        </is>
      </c>
    </row>
    <row r="5">
      <c r="A5" s="15" t="inlineStr">
        <is>
          <t>Пример:</t>
        </is>
      </c>
      <c r="B5" s="26" t="n">
        <v>20</v>
      </c>
      <c r="C5" s="26" t="n">
        <v>25</v>
      </c>
    </row>
    <row r="6" ht="45" customHeight="1">
      <c r="A6" s="13" t="inlineStr">
        <is>
          <t>№</t>
        </is>
      </c>
      <c r="B6" s="13" t="inlineStr">
        <is>
          <t>1 клиент, ms</t>
        </is>
      </c>
      <c r="C6" s="13" t="inlineStr">
        <is>
          <t>3 клиента, ms</t>
        </is>
      </c>
    </row>
    <row r="7">
      <c r="A7" s="8" t="n">
        <v>1</v>
      </c>
      <c r="B7" s="12" t="n"/>
      <c r="C7" s="12" t="n"/>
    </row>
    <row r="8">
      <c r="A8" s="8" t="n">
        <v>2</v>
      </c>
      <c r="B8" s="12" t="n"/>
      <c r="C8" s="12" t="n"/>
    </row>
    <row r="9">
      <c r="A9" s="8" t="n">
        <v>3</v>
      </c>
      <c r="B9" s="12" t="n"/>
      <c r="C9" s="12" t="n"/>
    </row>
    <row r="10">
      <c r="A10" s="8" t="n">
        <v>4</v>
      </c>
      <c r="B10" s="12" t="n"/>
      <c r="C10" s="12" t="n"/>
    </row>
    <row r="11">
      <c r="A11" s="8" t="n">
        <v>5</v>
      </c>
      <c r="B11" s="12" t="n"/>
      <c r="C11" s="12" t="n"/>
    </row>
    <row r="12">
      <c r="A12" s="8" t="n">
        <v>6</v>
      </c>
      <c r="B12" s="12" t="n"/>
      <c r="C12" s="12" t="n"/>
    </row>
    <row r="13">
      <c r="A13" s="8" t="n">
        <v>7</v>
      </c>
      <c r="B13" s="12" t="n"/>
      <c r="C13" s="12" t="n"/>
    </row>
    <row r="14">
      <c r="A14" s="8" t="n">
        <v>8</v>
      </c>
      <c r="B14" s="12" t="n"/>
      <c r="C14" s="12" t="n"/>
    </row>
    <row r="15">
      <c r="A15" s="8" t="n">
        <v>9</v>
      </c>
      <c r="B15" s="12" t="n"/>
      <c r="C15" s="12" t="n"/>
    </row>
    <row r="16">
      <c r="A16" s="8" t="n">
        <v>10</v>
      </c>
      <c r="B16" s="12" t="n"/>
      <c r="C16" s="12" t="n"/>
    </row>
    <row r="17">
      <c r="A17" s="8" t="n">
        <v>11</v>
      </c>
      <c r="B17" s="12" t="n"/>
      <c r="C17" s="12" t="n"/>
    </row>
    <row r="18">
      <c r="A18" s="8" t="n">
        <v>12</v>
      </c>
      <c r="B18" s="12" t="n"/>
      <c r="C18" s="12" t="n"/>
    </row>
    <row r="19">
      <c r="A19" s="8" t="n">
        <v>13</v>
      </c>
      <c r="B19" s="12" t="n"/>
      <c r="C19" s="12" t="n"/>
    </row>
    <row r="20">
      <c r="A20" s="8" t="n">
        <v>14</v>
      </c>
      <c r="B20" s="12" t="n"/>
      <c r="C20" s="12" t="n"/>
    </row>
    <row r="21">
      <c r="A21" s="8" t="n">
        <v>15</v>
      </c>
      <c r="B21" s="12" t="n"/>
      <c r="C21" s="12" t="n"/>
    </row>
    <row r="22">
      <c r="A22" s="8" t="n">
        <v>16</v>
      </c>
      <c r="B22" s="12" t="n"/>
      <c r="C22" s="12" t="n"/>
    </row>
    <row r="23">
      <c r="A23" s="8" t="n">
        <v>17</v>
      </c>
      <c r="B23" s="12" t="n"/>
      <c r="C23" s="12" t="n"/>
    </row>
    <row r="24">
      <c r="A24" s="8" t="n">
        <v>18</v>
      </c>
      <c r="B24" s="12" t="n"/>
      <c r="C24" s="12" t="n"/>
    </row>
    <row r="25">
      <c r="A25" s="8" t="n">
        <v>19</v>
      </c>
      <c r="B25" s="12" t="n"/>
      <c r="C25" s="12" t="n"/>
    </row>
    <row r="26">
      <c r="A26" s="8" t="n">
        <v>20</v>
      </c>
      <c r="B26" s="12" t="n"/>
      <c r="C26" s="12" t="n"/>
    </row>
    <row r="28">
      <c r="A28" s="14" t="inlineStr">
        <is>
          <t>Средно</t>
        </is>
      </c>
      <c r="B28" s="33">
        <f>IF(COUNT(B7:B26)=0,"",AVERAGE(B7:B26))</f>
        <v/>
      </c>
      <c r="C28" s="33">
        <f>IF(COUNT(C7:C26)=0,"",AVERAGE(C7:C26))</f>
        <v/>
      </c>
    </row>
    <row r="29">
      <c r="A29" s="14" t="inlineStr">
        <is>
          <t>Мин.</t>
        </is>
      </c>
      <c r="B29" s="33">
        <f>IF(COUNT(B7:B26)=0,"",MIN(B7:B26))</f>
        <v/>
      </c>
      <c r="C29" s="33">
        <f>IF(COUNT(C7:C26)=0,"",MIN(C7:C26))</f>
        <v/>
      </c>
    </row>
    <row r="30">
      <c r="A30" s="14" t="inlineStr">
        <is>
          <t>Макс.</t>
        </is>
      </c>
      <c r="B30" s="33">
        <f>IF(COUNT(B7:B26)=0,"",MAX(B7:B26))</f>
        <v/>
      </c>
      <c r="C30" s="33">
        <f>IF(COUNT(C7:C26)=0,"",MAX(C7:C26))</f>
        <v/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C19"/>
  <sheetViews>
    <sheetView showGridLines="0" workbookViewId="0">
      <selection activeCell="A1" sqref="A1"/>
    </sheetView>
  </sheetViews>
  <sheetFormatPr baseColWidth="8" defaultRowHeight="15"/>
  <cols>
    <col width="70" customWidth="1" min="1" max="1"/>
    <col width="12" customWidth="1" min="2" max="2"/>
    <col width="30" customWidth="1" min="3" max="3"/>
  </cols>
  <sheetData>
    <row r="1">
      <c r="A1" s="1" t="inlineStr">
        <is>
          <t>Снимки и екранни снимки</t>
        </is>
      </c>
    </row>
    <row r="3" ht="45" customHeight="1">
      <c r="A3" s="13" t="inlineStr">
        <is>
          <t>Какво</t>
        </is>
      </c>
      <c r="B3" s="13" t="inlineStr">
        <is>
          <t>Направено?</t>
        </is>
      </c>
      <c r="C3" s="13" t="inlineStr">
        <is>
          <t>Име на файла</t>
        </is>
      </c>
    </row>
    <row r="4">
      <c r="A4" s="40" t="inlineStr">
        <is>
          <t>Целият макет отгоре, добре осветен</t>
        </is>
      </c>
      <c r="B4" s="4" t="n"/>
      <c r="C4" s="4" t="n"/>
    </row>
    <row r="5">
      <c r="A5" s="40" t="inlineStr">
        <is>
          <t>NodeMCU на подчинения модул отблизо — с надписите на изводите</t>
        </is>
      </c>
      <c r="B5" s="4" t="n"/>
      <c r="C5" s="4" t="n"/>
    </row>
    <row r="6">
      <c r="A6" s="40" t="inlineStr">
        <is>
          <t>Релейните модули отблизо — джъмперът H</t>
        </is>
      </c>
      <c r="B6" s="4" t="n"/>
      <c r="C6" s="4" t="n"/>
    </row>
    <row r="7">
      <c r="A7" s="40" t="inlineStr">
        <is>
          <t>Модулът HR202 с потенциометъра</t>
        </is>
      </c>
      <c r="B7" s="4" t="n"/>
      <c r="C7" s="4" t="n"/>
    </row>
    <row r="8">
      <c r="A8" s="40" t="inlineStr">
        <is>
          <t>DHT11</t>
        </is>
      </c>
      <c r="B8" s="4" t="n"/>
      <c r="C8" s="4" t="n"/>
    </row>
    <row r="9">
      <c r="A9" s="40" t="inlineStr">
        <is>
          <t>Двата бутона</t>
        </is>
      </c>
      <c r="B9" s="4" t="n"/>
      <c r="C9" s="4" t="n"/>
    </row>
    <row r="10">
      <c r="A10" s="40" t="inlineStr">
        <is>
          <t>Делителят към A0</t>
        </is>
      </c>
      <c r="B10" s="4" t="n"/>
      <c r="C10" s="4" t="n"/>
    </row>
    <row r="11">
      <c r="A11" s="40" t="inlineStr">
        <is>
          <t>Главният модул</t>
        </is>
      </c>
      <c r="B11" s="4" t="n"/>
      <c r="C11" s="4" t="n"/>
    </row>
    <row r="12">
      <c r="A12" s="40" t="inlineStr">
        <is>
          <t>Уеб: горната част (датчици и релета)</t>
        </is>
      </c>
      <c r="B12" s="4" t="n"/>
      <c r="C12" s="4" t="n"/>
    </row>
    <row r="13">
      <c r="A13" s="40" t="inlineStr">
        <is>
          <t>Уеб: „📊 Диагностика“</t>
        </is>
      </c>
      <c r="B13" s="4" t="n"/>
      <c r="C13" s="4" t="n"/>
    </row>
    <row r="14">
      <c r="A14" s="40" t="inlineStr">
        <is>
          <t>Уеб: „⏱️ Измервания“</t>
        </is>
      </c>
      <c r="B14" s="4" t="n"/>
      <c r="C14" s="4" t="n"/>
    </row>
    <row r="15">
      <c r="A15" s="40" t="inlineStr">
        <is>
          <t>Уеб: „⚙️ Конфигурация“</t>
        </is>
      </c>
      <c r="B15" s="4" t="n"/>
      <c r="C15" s="4" t="n"/>
    </row>
    <row r="16">
      <c r="A16" s="40" t="inlineStr">
        <is>
          <t>UART: менюто M на двата модула</t>
        </is>
      </c>
      <c r="B16" s="4" t="n"/>
      <c r="C16" s="4" t="n"/>
    </row>
    <row r="17">
      <c r="A17" s="40" t="inlineStr">
        <is>
          <t>UART: 7 на главния</t>
        </is>
      </c>
      <c r="B17" s="4" t="n"/>
      <c r="C17" s="4" t="n"/>
    </row>
    <row r="18">
      <c r="A18" s="40" t="inlineStr">
        <is>
          <t>UART: 6 на подчинения</t>
        </is>
      </c>
      <c r="B18" s="4" t="n"/>
      <c r="C18" s="4" t="n"/>
    </row>
    <row r="19">
      <c r="A19" s="40" t="inlineStr">
        <is>
          <t>UART: резултат от PING 100</t>
        </is>
      </c>
      <c r="B19" s="4" t="n"/>
      <c r="C19" s="4" t="n"/>
    </row>
  </sheetData>
  <dataValidations count="1">
    <dataValidation sqref="B4:B19" showDropDown="0" showInputMessage="0" showErrorMessage="0" allowBlank="1" errorTitle="Невалидна стойност" error="Изберете Да или Не" type="list">
      <formula1>"Да,Не"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2026-09-25T19:56:30Z</dcterms:created>
  <dcterms:modified xsi:type="dcterms:W3CDTF">2026-09-25T19:56:30Z</dcterms:modified>
</cp:coreProperties>
</file>